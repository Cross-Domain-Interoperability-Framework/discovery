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10" documentId="11_57EB45308BA77E28DEBC89AE8BB22DD7A08638F5" xr6:coauthVersionLast="47" xr6:coauthVersionMax="47" xr10:uidLastSave="{5E5C0547-3715-4CC0-8AC8-1397332552BC}"/>
  <bookViews>
    <workbookView xWindow="3292" yWindow="945" windowWidth="13628" windowHeight="8610" xr2:uid="{00000000-000D-0000-FFFF-FFFF00000000}"/>
  </bookViews>
  <sheets>
    <sheet name="crosswalk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6" i="1" l="1"/>
  <c r="N66" i="1"/>
  <c r="M66" i="1"/>
  <c r="V65" i="1"/>
  <c r="N65" i="1"/>
  <c r="V48" i="1"/>
  <c r="N48" i="1"/>
  <c r="M48" i="1"/>
  <c r="N35" i="1"/>
  <c r="N26" i="1"/>
  <c r="N22" i="1"/>
  <c r="N12" i="1"/>
  <c r="M12" i="1"/>
  <c r="V7" i="1"/>
  <c r="N7" i="1"/>
  <c r="AB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0"/>
            <color rgb="FF000000"/>
            <rFont val="Arial"/>
            <scheme val="minor"/>
          </rPr>
          <t>see https://cross-domain-interoperability-framework.github.io/cdifbook/metadata/schemaorgimplementation.html#implementation-of-metadata-content-items.  For validation see JSON schema and SHACL rules at https://github.com/Cross-Domain-Interoperability-Framework/validation</t>
        </r>
      </text>
    </comment>
    <comment ref="E1" authorId="0" shapeId="0" xr:uid="{00000000-0006-0000-0000-000002000000}">
      <text>
        <r>
          <rPr>
            <sz val="10"/>
            <color rgb="FF000000"/>
            <rFont val="Arial"/>
            <scheme val="minor"/>
          </rPr>
          <t>(text in bracket is from the Google dataset search guide)</t>
        </r>
      </text>
    </comment>
    <comment ref="G1" authorId="0" shapeId="0" xr:uid="{00000000-0006-0000-0000-000003000000}">
      <text>
        <r>
          <rPr>
            <sz val="10"/>
            <color rgb="FF000000"/>
            <rFont val="Arial"/>
            <scheme val="minor"/>
          </rPr>
          <t>R: Required</t>
        </r>
      </text>
    </comment>
    <comment ref="K1" authorId="0" shapeId="0" xr:uid="{00000000-0006-0000-0000-000004000000}">
      <text>
        <r>
          <rPr>
            <sz val="10"/>
            <color rgb="FF000000"/>
            <rFont val="Arial"/>
            <scheme val="minor"/>
          </rPr>
          <t>pulled from YAML schema; see DRAFT OGC API - Records - Part 1</t>
        </r>
      </text>
    </comment>
    <comment ref="O1" authorId="0" shapeId="0" xr:uid="{00000000-0006-0000-0000-000005000000}">
      <text>
        <r>
          <rPr>
            <sz val="10"/>
            <color rgb="FF000000"/>
            <rFont val="Arial"/>
            <scheme val="minor"/>
          </rPr>
          <t>M: Mandatory
R: Recommended
O: Optional</t>
        </r>
      </text>
    </comment>
    <comment ref="P1" authorId="0" shapeId="0" xr:uid="{00000000-0006-0000-0000-000006000000}">
      <text>
        <r>
          <rPr>
            <sz val="10"/>
            <color rgb="FF000000"/>
            <rFont val="Arial"/>
            <scheme val="minor"/>
          </rPr>
          <t>https://www.w3.org/2015/spatial/wiki/ISO_19115_-_DCAT_-_Schema.org_mapping</t>
        </r>
      </text>
    </comment>
    <comment ref="W1" authorId="0" shapeId="0" xr:uid="{00000000-0006-0000-0000-000007000000}">
      <text>
        <r>
          <rPr>
            <sz val="10"/>
            <color rgb="FF000000"/>
            <rFont val="Arial"/>
            <scheme val="minor"/>
          </rPr>
          <t>also referenced: https://bioschemas.org/profiles/</t>
        </r>
      </text>
    </comment>
    <comment ref="I11" authorId="0" shapeId="0" xr:uid="{00000000-0006-0000-0000-000008000000}">
      <text>
        <r>
          <rPr>
            <sz val="10"/>
            <color rgb="FF000000"/>
            <rFont val="Arial"/>
            <scheme val="minor"/>
          </rPr>
          <t>from 4. FDO Technical Management Responsibilities Information in PR-FDO-KernelAttributesAndMetadata-2.0</t>
        </r>
      </text>
    </comment>
    <comment ref="D20" authorId="0" shapeId="0" xr:uid="{00000000-0006-0000-0000-000009000000}">
      <text>
        <r>
          <rPr>
            <sz val="10"/>
            <color rgb="FF000000"/>
            <rFont val="Arial"/>
            <scheme val="minor"/>
          </rPr>
          <t>implement as contributor in role of copyright holder?  technically copyright is not a license or condition of access....</t>
        </r>
      </text>
    </comment>
    <comment ref="A55" authorId="0" shapeId="0" xr:uid="{00000000-0006-0000-0000-00000B000000}">
      <text>
        <r>
          <rPr>
            <sz val="10"/>
            <color rgb="FF000000"/>
            <rFont val="Arial"/>
            <scheme val="minor"/>
          </rPr>
          <t>Please add Link: references, which Datacite treats much like the inverse of cites
	-Jonathan Blythe</t>
        </r>
      </text>
    </comment>
    <comment ref="N68" authorId="0" shapeId="0" xr:uid="{00000000-0006-0000-0000-00000A000000}">
      <text>
        <r>
          <rPr>
            <sz val="10"/>
            <color rgb="FF000000"/>
            <rFont val="Arial"/>
            <scheme val="minor"/>
          </rPr>
          <t>Minimum time period resolvable in the dataset.</t>
        </r>
      </text>
    </comment>
  </commentList>
</comments>
</file>

<file path=xl/sharedStrings.xml><?xml version="1.0" encoding="utf-8"?>
<sst xmlns="http://schemas.openxmlformats.org/spreadsheetml/2006/main" count="924" uniqueCount="718">
  <si>
    <t>Generic element</t>
  </si>
  <si>
    <t>CDIF content model</t>
  </si>
  <si>
    <t>requirement</t>
  </si>
  <si>
    <t>CDIF Discovery SDO implementation</t>
  </si>
  <si>
    <t>Description</t>
  </si>
  <si>
    <t>Domain Type</t>
  </si>
  <si>
    <t xml:space="preserve">schema:Property 
</t>
  </si>
  <si>
    <t>FDO metadata 2.0</t>
  </si>
  <si>
    <t>FDO notes</t>
  </si>
  <si>
    <t>OGCAPI Records Core</t>
  </si>
  <si>
    <t>OGC Records Note</t>
  </si>
  <si>
    <t>DCAT-AP</t>
  </si>
  <si>
    <t>Datacite v4</t>
  </si>
  <si>
    <t>ISO-19115:2003</t>
  </si>
  <si>
    <t>ISO19115-1</t>
  </si>
  <si>
    <r>
      <rPr>
        <u/>
        <sz val="10"/>
        <color rgb="FF1155CC"/>
        <rFont val="Arial"/>
        <family val="2"/>
      </rPr>
      <t>EOSC/EDMI</t>
    </r>
    <r>
      <rPr>
        <sz val="10"/>
        <rFont val="Arial"/>
        <family val="2"/>
      </rPr>
      <t xml:space="preserve">
M: Minimum
R: Recommended
O: Optional</t>
    </r>
  </si>
  <si>
    <t>CodeMeta</t>
  </si>
  <si>
    <t>Identifier [resource]</t>
  </si>
  <si>
    <t>Resource identifier</t>
  </si>
  <si>
    <t>"identifier":{URI}</t>
  </si>
  <si>
    <t xml:space="preserve">Identifier for the described resource; ideally a resolvable HTTP URI, but any URI may be used. If multiple identifiers are availble choose one here. </t>
  </si>
  <si>
    <t>schema:Thing</t>
  </si>
  <si>
    <t>identifier</t>
  </si>
  <si>
    <t>externalIds</t>
  </si>
  <si>
    <t>Array of identifiers for the resource assigned by an external (to the catalogue) entity. Identifier object is {scheme, value}</t>
  </si>
  <si>
    <t>dcterms:identifier</t>
  </si>
  <si>
    <t>Identifier (M)</t>
  </si>
  <si>
    <t xml:space="preserve">MD_Identification/citation//identifier//code  </t>
  </si>
  <si>
    <t>identifier (M)</t>
  </si>
  <si>
    <t>Dataset Persistent ID</t>
  </si>
  <si>
    <t>identifier (R)</t>
  </si>
  <si>
    <t xml:space="preserve">collection/citationInfo/citationMetadata/identifier
AND/OR
collection/identifier
</t>
  </si>
  <si>
    <t>IDNo</t>
  </si>
  <si>
    <t>DOI (M)</t>
  </si>
  <si>
    <t>ResourceHeader/DOI
 ResourceID</t>
  </si>
  <si>
    <t>Title</t>
  </si>
  <si>
    <t xml:space="preserve">Title </t>
  </si>
  <si>
    <t>"name":{string}</t>
  </si>
  <si>
    <t xml:space="preserve">A descriptive name of the item (e.g. dataset, software, Organization). </t>
  </si>
  <si>
    <t>name (R)</t>
  </si>
  <si>
    <t>title (R)</t>
  </si>
  <si>
    <t>A human-readable name given to the resource.</t>
  </si>
  <si>
    <t>dcterms:title(M)</t>
  </si>
  <si>
    <t>dcterms:title</t>
  </si>
  <si>
    <t>Title (M)</t>
  </si>
  <si>
    <t>Resource title (M)</t>
  </si>
  <si>
    <t>MD_Identification/citation//title(M)</t>
  </si>
  <si>
    <t>name (M)</t>
  </si>
  <si>
    <t>title (M)</t>
  </si>
  <si>
    <t xml:space="preserve">registryObject:collection:name
</t>
  </si>
  <si>
    <t>Title - dcterms:title</t>
  </si>
  <si>
    <t>titl</t>
  </si>
  <si>
    <t>Object Title (M)</t>
  </si>
  <si>
    <t>name</t>
  </si>
  <si>
    <t>ResourceHeader/ResourceName</t>
  </si>
  <si>
    <t>0..1</t>
  </si>
  <si>
    <t>"description": {string}</t>
  </si>
  <si>
    <t>A description of the resource.</t>
  </si>
  <si>
    <t>description (R)</t>
  </si>
  <si>
    <t>description</t>
  </si>
  <si>
    <t>A free-text account of the resource.</t>
  </si>
  <si>
    <t>dcterms:description(M)</t>
  </si>
  <si>
    <t>dcterms:description</t>
  </si>
  <si>
    <t xml:space="preserve">Description (R)[descriptionType any] </t>
  </si>
  <si>
    <t>Resource abstract</t>
  </si>
  <si>
    <t>MD_Identification/abstract (M)</t>
  </si>
  <si>
    <t>description (M)</t>
  </si>
  <si>
    <t>Description; DescriptionValue (M)</t>
  </si>
  <si>
    <t>collection/description[@type='brief']
OR
collection/description[@type='full']</t>
  </si>
  <si>
    <t>Description - dcterms:description</t>
  </si>
  <si>
    <t>Description (R)</t>
  </si>
  <si>
    <t>abstract</t>
  </si>
  <si>
    <t>ResourceHeader/Description</t>
  </si>
  <si>
    <t>Date [resource created]</t>
  </si>
  <si>
    <t>dateCreated: ISO8601 date or dateTime</t>
  </si>
  <si>
    <t>The date on which the CreativeWork was created or the item was added to a DataFeed.  Not in current CDIF recommendation, implementation suggested here.</t>
  </si>
  <si>
    <t>schema:CreativeWork</t>
  </si>
  <si>
    <t>dateCreated</t>
  </si>
  <si>
    <t>RDA dateCreated</t>
  </si>
  <si>
    <t>dcterms:created (O)</t>
  </si>
  <si>
    <t>dcterms:created</t>
  </si>
  <si>
    <t>Date (R)[dateType=Created]</t>
  </si>
  <si>
    <t>MD_Identification/citation//date [dateType = creation]</t>
  </si>
  <si>
    <t>dateCreated (M)</t>
  </si>
  <si>
    <t>Date of collection</t>
  </si>
  <si>
    <t>collection/citationInfo/citationMetadata/date[@type= 'created']
OR
collection/dates[@type='created']</t>
  </si>
  <si>
    <t>created</t>
  </si>
  <si>
    <t>Dates (date type) (O)</t>
  </si>
  <si>
    <t>datedCreated</t>
  </si>
  <si>
    <t>Date [resource modified]</t>
  </si>
  <si>
    <t>Modified Date</t>
  </si>
  <si>
    <t>"dateModified" : {date time}</t>
  </si>
  <si>
    <t>Date of most recent update to resource content. If Publication date is not provided, defaults to the Modification Date. Use ISO 8601 format.</t>
  </si>
  <si>
    <t>dateModified</t>
  </si>
  <si>
    <t>RDA dateModified</t>
  </si>
  <si>
    <t xml:space="preserve">In the case of mutable bit-sequences of the FDO the last date/time of object modification. Must be consistent with etag and current version number.
</t>
  </si>
  <si>
    <t>dcterms:modified (O)</t>
  </si>
  <si>
    <t>dcterms:modified</t>
  </si>
  <si>
    <t>Date (R)[dateType=Updated]</t>
  </si>
  <si>
    <t>Temporal reference: date of last modification</t>
  </si>
  <si>
    <t>MD_Identification/citation//date [dateType = lastUpdate]</t>
  </si>
  <si>
    <r>
      <t xml:space="preserve">
</t>
    </r>
    <r>
      <rPr>
        <sz val="10"/>
        <color rgb="FF24292E"/>
        <rFont val="Arial"/>
        <family val="2"/>
      </rPr>
      <t>dateModified (M)</t>
    </r>
  </si>
  <si>
    <t>Version Date</t>
  </si>
  <si>
    <t>version (date)</t>
  </si>
  <si>
    <t>RevisionHistory/RevisionEvent/ReleaseDate*</t>
  </si>
  <si>
    <t>Date [publication]</t>
  </si>
  <si>
    <t>Publication Date</t>
  </si>
  <si>
    <t>"datePublished" : {date time}</t>
  </si>
  <si>
    <t>Date on which the resource was made publicly accessible. Use ISO 8601 format.</t>
  </si>
  <si>
    <t>datePublished : {date time}</t>
  </si>
  <si>
    <t>datePublished</t>
  </si>
  <si>
    <t>dcat:issued (R)</t>
  </si>
  <si>
    <t>PublicationYear (M)</t>
  </si>
  <si>
    <t>Temporal reference: date of publication</t>
  </si>
  <si>
    <t>MD_Identification/citation//date [dateType  = publication]</t>
  </si>
  <si>
    <r>
      <t xml:space="preserve">
</t>
    </r>
    <r>
      <rPr>
        <sz val="10"/>
        <color rgb="FF24292E"/>
        <rFont val="Arial"/>
        <family val="2"/>
      </rPr>
      <t>datePublished (O)</t>
    </r>
  </si>
  <si>
    <t>collection/citationInfo/citationMetadata/date[@type='publicationDate']
OR
collection/citationInfo/citationMetadata/date[@type='issued']
OR
collection/dates[@type='dc.issued']
OR
collection/dates[@type='dc.available']
OR
date the record was ingested into RDA</t>
  </si>
  <si>
    <t>PublicationYear (R)</t>
  </si>
  <si>
    <t>distDate (for export)</t>
  </si>
  <si>
    <t>Creation Year (M)</t>
  </si>
  <si>
    <t>ReleaseDate</t>
  </si>
  <si>
    <t>version</t>
  </si>
  <si>
    <t>Version</t>
  </si>
  <si>
    <t>version: string or number</t>
  </si>
  <si>
    <t>The version of the CreativeWork embodied by a specified resource.  The values should sort from oldest to newest using an alphanumeric sort on version strings</t>
  </si>
  <si>
    <t>RDA version</t>
  </si>
  <si>
    <t xml:space="preserve">If tracked, a version for the object, which must follow a total order. Mandatory for all objects with at least one predecessor version. 
</t>
  </si>
  <si>
    <t>owl:versionInfo</t>
  </si>
  <si>
    <t>dcat:version</t>
  </si>
  <si>
    <t>Version (O)</t>
  </si>
  <si>
    <t>MD_Identification/citation//edition</t>
  </si>
  <si>
    <r>
      <t xml:space="preserve">
</t>
    </r>
    <r>
      <rPr>
        <sz val="10"/>
        <color rgb="FF24292E"/>
        <rFont val="Arial"/>
        <family val="2"/>
      </rPr>
      <t>version (O)</t>
    </r>
  </si>
  <si>
    <t>version (R)</t>
  </si>
  <si>
    <t>registryObject:collection:citationInfo:citationMetadata:version</t>
  </si>
  <si>
    <t>version (O)</t>
  </si>
  <si>
    <t>ProviderVersion</t>
  </si>
  <si>
    <t>Resource type</t>
  </si>
  <si>
    <t>"@type":{schema.org type}</t>
  </si>
  <si>
    <t xml:space="preserve">Use the most specific [Schema.org resource type](https://schema.org/docs/full.html) that is applicable. Multiple value can be provided but they must be logically consistent.  </t>
  </si>
  <si>
    <t>@type, additionalType</t>
  </si>
  <si>
    <t>Type, FDOF. RDA digitalObjectType</t>
  </si>
  <si>
    <t>Kind of bit-sequence  (metadata, time series, etc.). This type needs to be registered in a type registry</t>
  </si>
  <si>
    <t>type (R)</t>
  </si>
  <si>
    <t>The nature or genre of the resource. The value should be a code, convenient for filtering records. Where available, a link to  the canonical URI of the record type resource will be added to the 'links' property.</t>
  </si>
  <si>
    <t>0..*</t>
  </si>
  <si>
    <t>"additionalType": [{DefinedTerm or URI}, ...]</t>
  </si>
  <si>
    <t>If a more specific resource type needs to be specified, add a text or URI value here that identifies the type. MUST be consistent with the \@type. To simplify parsing, always encode as an array.</t>
  </si>
  <si>
    <t>additionalType: [{DefinedTerm or URI}, ...]</t>
  </si>
  <si>
    <t>Responsibility [creator]</t>
  </si>
  <si>
    <t>Originator</t>
  </si>
  <si>
    <t>"creator" : [{Person or Organization}, ...].  embed in @list  to preserve author order?</t>
  </si>
  <si>
    <t>The creator/author of this CreativeWork (dataset). This is the same as the Author property for CreativeWork.  (To uniquely identify individuals, use ORCID ID as the value of the sameAs property of the Person type. To uniquely identify institutions and organizations, use ROR ID. )</t>
  </si>
  <si>
    <t>creator</t>
  </si>
  <si>
    <t>FDO Creator</t>
  </si>
  <si>
    <t>organisation responsible for creating the FDO (and implicitly issuing the FDO PID), stating RDA DateCreated and XXX:ResponsibleOrganisation, attributes.  (optional attribute )
[NOTE-- creator of content and identifier registration are not necessarily the same agent, so implicit implication is not valid]</t>
  </si>
  <si>
    <t>dcterms:creator</t>
  </si>
  <si>
    <t xml:space="preserve">creator (M) </t>
  </si>
  <si>
    <t>MD_Identification/citation//citedResponsibleParty//name  [role = one of {author, coAuthor, originator, editor}]</t>
  </si>
  <si>
    <t>creator (M)</t>
  </si>
  <si>
    <t>Author; authorName (M)</t>
  </si>
  <si>
    <t>collection/citationInfo/citationMetadata/contributor
OR
relatedObject|relatedInfo party/name where relation=IsPrincipalInvestigatorOf
OR
relatedObject|relatedInfo party/name where relation=author
OR
relatedObject|relatedInfo party/name where relation=coInvestigator
OR
relatedObject|relatedInfo party/name where relation=hasCollector</t>
  </si>
  <si>
    <t>Creator</t>
  </si>
  <si>
    <t>creator (R)</t>
  </si>
  <si>
    <t>Creator (R)</t>
  </si>
  <si>
    <t>AuthEnty*</t>
  </si>
  <si>
    <t>Creators (M)</t>
  </si>
  <si>
    <t>author</t>
  </si>
  <si>
    <t>ResourceHeader/Contact[@role=PrincipalInvestigator]
 ResourceHeader/Contact[@role=DataProducer]</t>
  </si>
  <si>
    <t>Responsibility [contributor]</t>
  </si>
  <si>
    <t>Other related agent</t>
  </si>
  <si>
    <t>"contributor": [ {Person or Organization}, ... ]</t>
  </si>
  <si>
    <t>Recognition for others who have contributed to the production of the resource but are not recognized as authors/creators.</t>
  </si>
  <si>
    <t>contributor</t>
  </si>
  <si>
    <t>contributor (R) [contributorType any]</t>
  </si>
  <si>
    <t>MD_Identification/citation//citedResponsibleParty//name [role = contributor]</t>
  </si>
  <si>
    <t>Contributor</t>
  </si>
  <si>
    <t>Contributor - dcterms:contributor (Depositor)</t>
  </si>
  <si>
    <t>Contributor (O)</t>
  </si>
  <si>
    <t>Contributors (O)</t>
  </si>
  <si>
    <t>ResourceHeader/Contact[@role=Contributor]</t>
  </si>
  <si>
    <t>keyword</t>
  </si>
  <si>
    <t xml:space="preserve">Keyword </t>
  </si>
  <si>
    <t>"keywords":
[ {string}, or DefinedTerm
,...]</t>
  </si>
  <si>
    <t>Keywords or tags used to describe this content. The subject matter of content Multiple entries in a keywords list are typically delimited by commas.</t>
  </si>
  <si>
    <t>keywords</t>
  </si>
  <si>
    <t>The topic or topics of the resource. Typically represented using free-form keywords, tags, key phrases, or classification codes.</t>
  </si>
  <si>
    <t>dcat:keyword (R)</t>
  </si>
  <si>
    <t>dcat:keyword</t>
  </si>
  <si>
    <t>subject(R)*</t>
  </si>
  <si>
    <t>Descriptive keywords (free text)</t>
  </si>
  <si>
    <t>MD_Identification/descriptiveKeywords//keyword</t>
  </si>
  <si>
    <t>keywords (R)</t>
  </si>
  <si>
    <t>Subject (M); Topic Classification Term; Keywords</t>
  </si>
  <si>
    <t>keywords (O)</t>
  </si>
  <si>
    <t xml:space="preserve">collection/subject        </t>
  </si>
  <si>
    <t>Subject - dcterms:subject</t>
  </si>
  <si>
    <t>keywords (M)</t>
  </si>
  <si>
    <t>keyword [science domain or theme]</t>
  </si>
  <si>
    <t>for DCAT theme used DefinedTerm, with additionalType 'dcat:theme'; for FDOF use 'additionalType 'FDOF ScientificDomain'</t>
  </si>
  <si>
    <t>FDOF ScientificDomain</t>
  </si>
  <si>
    <t>indicator of the scientific domain the FDO refers to. This ensures compliance with the FAIR principles, which are per definition applicable at the domain level. This attribute is required since different mandatory attributes may be required at the domain-level.</t>
  </si>
  <si>
    <t>dcat:theme (R)</t>
  </si>
  <si>
    <t>dcat:theme</t>
  </si>
  <si>
    <t>keyword [controlled vocabulary]</t>
  </si>
  <si>
    <t>Keyword</t>
  </si>
  <si>
    <t>{"@type":"DefinedTerm",  "name": "OCEANS", "inDefinedTermSet": "gcmd:sciencekeywords", "identifier": "gcmd:concept/916b....6167d" }</t>
  </si>
  <si>
    <t>themes</t>
  </si>
  <si>
    <t>list of concepts grouped by theme; each concept has {id, title, description, url}</t>
  </si>
  <si>
    <t>Subject (using valueURI, subjectscheme, schemeURI)</t>
  </si>
  <si>
    <t>Descriptive keyword (from a controlled vocabulary)</t>
  </si>
  <si>
    <t>MD_Identification/topicCategory ; additional categories in MD_Identification/descriptiveKeywords//keyword [type = subTopicCategory]</t>
  </si>
  <si>
    <t>Geographic Extent</t>
  </si>
  <si>
    <t>[1]..*</t>
  </si>
  <si>
    <t>"spatialCoverage": { "@type": "Place",.. with name: or geo: with point, box or line geometry. Box is preferred for interoperability</t>
  </si>
  <si>
    <t xml:space="preserve">The place(s) that are the focus of the content. Only required if the property if the dataset has a spatial dimension.) </t>
  </si>
  <si>
    <t>spatialCoverage</t>
  </si>
  <si>
    <t>geometry</t>
  </si>
  <si>
    <t>uses geoJSON</t>
  </si>
  <si>
    <t>dcterms:spatial</t>
  </si>
  <si>
    <t>geoLocation(R)</t>
  </si>
  <si>
    <t>Geographic extent</t>
  </si>
  <si>
    <t>MD_Identification/extent//geographicElement .  EX_GeographicBounding box or EX_BoundingPolygon with GM_Object is Point for centroid (yukkk! :( ).  Some profiles recommend putting place names in keywords,  keywordTypeCode = 'place'.  Many possibilities--will have to configure for particular ISO profile...</t>
  </si>
  <si>
    <t>spatialCoverage (O)</t>
  </si>
  <si>
    <t>collection/coverage/spatial</t>
  </si>
  <si>
    <t>dcterms:coverage (spatial)</t>
  </si>
  <si>
    <t>Spatial Coverage (O)</t>
  </si>
  <si>
    <t>geogCover
geoBndBox
coverage</t>
  </si>
  <si>
    <t>ObservedRegion</t>
  </si>
  <si>
    <t>Temporal coverage</t>
  </si>
  <si>
    <t>temporalCoverage: either {ISO8601 date, dateTime, time interval}, or w3c time:ProperInterval</t>
  </si>
  <si>
    <t xml:space="preserve">The period of time that the content applies to. Only include this property if the dataset has a temporal dimension.  Temporal coverage can be expressed in several ways: a calendar/clock dateTime or date time interval using ISO8601 serialization, a named time ordinal era, an interval bounded by time ordinal era, or with a numeric coordinate in a temporal reference system. Time ordinal era interval, use owl:time namespace, time: http://www.w3.org/2006/time#. This example uses International chronostratigraphic chart, isc. See PeriodO for identifiers for many other named time intervals. </t>
  </si>
  <si>
    <t>temporalCoverage</t>
  </si>
  <si>
    <t>time (R)</t>
  </si>
  <si>
    <t>Date, TimeStamp or interval; uses ISO8601 syntax; includes resolution property (d, m, y...)</t>
  </si>
  <si>
    <t>dcterms:temporal</t>
  </si>
  <si>
    <t>Temporal extent</t>
  </si>
  <si>
    <t>MD_Identification/extent//temporalElement/extent/TM_Primitive</t>
  </si>
  <si>
    <t>temporalCoverage (O)</t>
  </si>
  <si>
    <t>Time Period Covered</t>
  </si>
  <si>
    <t>collection/coverage/temporal</t>
  </si>
  <si>
    <t>dcterms:temporal (start); dcterms:temporal (end)</t>
  </si>
  <si>
    <t>Temporal Coverage (O)</t>
  </si>
  <si>
    <t xml:space="preserve">
temporal</t>
  </si>
  <si>
    <t>TemporalDescription/TimeSpan</t>
  </si>
  <si>
    <t>Rights</t>
  </si>
  <si>
    <t>1..* license or conditionsOfAccess</t>
  </si>
  <si>
    <t>"license":{text or URI}</t>
  </si>
  <si>
    <t>A license document that applies to this content, typically indicated by URL. (A license under which the dataset is distributed.)</t>
  </si>
  <si>
    <t>license</t>
  </si>
  <si>
    <t>FDOF rightsRecord</t>
  </si>
  <si>
    <r>
      <rPr>
        <sz val="10"/>
        <color theme="1"/>
        <rFont val="Arial"/>
        <family val="2"/>
      </rPr>
      <t xml:space="preserve">This is a pointer to a possible record in a database that includes access permissions implemented as URL or PID. Also: FDOF </t>
    </r>
    <r>
      <rPr>
        <b/>
        <sz val="10"/>
        <color theme="1"/>
        <rFont val="Arial"/>
        <family val="2"/>
      </rPr>
      <t>licenceConditions</t>
    </r>
    <r>
      <rPr>
        <sz val="10"/>
        <color theme="1"/>
        <rFont val="Arial"/>
        <family val="2"/>
      </rPr>
      <t xml:space="preserve">: This is a pointer to a possible record in a database that includes formal specifications about licences such as CC-x implemented as URL or PID;  FDOF </t>
    </r>
    <r>
      <rPr>
        <b/>
        <sz val="10"/>
        <color theme="1"/>
        <rFont val="Arial"/>
        <family val="2"/>
      </rPr>
      <t>transactionRecord</t>
    </r>
    <r>
      <rPr>
        <sz val="10"/>
        <color theme="1"/>
        <rFont val="Arial"/>
        <family val="2"/>
      </rPr>
      <t xml:space="preserve">: This is a pointer to a possible record in a secure database that includes contractual information implemented as URL or PID. 
</t>
    </r>
  </si>
  <si>
    <t>A legal document under which the resource is made available.   If the resource is being made available under a common license then use an SPDX license id (https://spdx.org/licenses/). .... If the resource is being made available under one or more licenses that haven't been assigned an SPDX identifier or one or more custom licenses then use a string value of 'other' and include one or more links (rel='license') in the 'link' section of the record to the  file(s) that contains the text of the license(s).</t>
  </si>
  <si>
    <t>dcterms:license</t>
  </si>
  <si>
    <t>Resource constraints: use constraints (for catalogue)
Online resource (function: "download"): linkage (for dataset)</t>
  </si>
  <si>
    <t>MD_Identification/resourceConstraints//reference/CI_Citation, or text in MD_LegalConstraints/useLimitation [restrictionCode = license]</t>
  </si>
  <si>
    <t>license (R)</t>
  </si>
  <si>
    <t>licenses (R)</t>
  </si>
  <si>
    <t>collection/rights/licence[@rightsURI]
AND/OR
collection/rights/licence[@type]
AND
collection/rights/licence</t>
  </si>
  <si>
    <t>Rights (O)</t>
  </si>
  <si>
    <t>rights</t>
  </si>
  <si>
    <t>"conditionsOfAccess":{text or URI}</t>
  </si>
  <si>
    <t>https://schema.org/conditionsOfAccess.  Information about who can access the resource or an indication of its security status. (DCAT3)</t>
  </si>
  <si>
    <t>conditionsOfAccess</t>
  </si>
  <si>
    <t>dcterms:accessRights(O)</t>
  </si>
  <si>
    <t>dcterms:accessRights</t>
  </si>
  <si>
    <t>MD_Identification/resourceConstraints/MD_LegalConstraints</t>
  </si>
  <si>
    <t>dct:accessRights</t>
  </si>
  <si>
    <t>accessRights</t>
  </si>
  <si>
    <t>AccessRights*</t>
  </si>
  <si>
    <t>rights, e.g. copyright,  a legal framework that gives the creator of an original work control over reproduction, distribution, derivative works (among others?). Thus the copyright holder is in role of 'owner' of the resource.</t>
  </si>
  <si>
    <t>A statement that concerns all rights not addressed by the license such as a copyright statement.</t>
  </si>
  <si>
    <t>dcterms:rights(O)</t>
  </si>
  <si>
    <t>dcterms:rights</t>
  </si>
  <si>
    <t>Rights(O)*</t>
  </si>
  <si>
    <t>collection/rights</t>
  </si>
  <si>
    <t>rights
disclaimer</t>
  </si>
  <si>
    <t>Thumbnail</t>
  </si>
  <si>
    <t>thumbnailURL: anyURI</t>
  </si>
  <si>
    <r>
      <rPr>
        <sz val="10"/>
        <color rgb="FF24292E"/>
        <rFont val="Arial"/>
        <family val="2"/>
      </rPr>
      <t xml:space="preserve">a small (number of bytes) image of the resource content. Not in current CDIF recommendation. Could be treated as a relatedResource with role=thumbnail, but for consistency with </t>
    </r>
    <r>
      <rPr>
        <u/>
        <sz val="10"/>
        <color rgb="FF1155CC"/>
        <rFont val="Arial"/>
        <family val="2"/>
      </rPr>
      <t>schema.org</t>
    </r>
    <r>
      <rPr>
        <sz val="10"/>
        <color rgb="FF24292E"/>
        <rFont val="Arial"/>
        <family val="2"/>
      </rPr>
      <t xml:space="preserve"> suggest using schema:thumbnailURL</t>
    </r>
  </si>
  <si>
    <t>FDOF operationInfo</t>
  </si>
  <si>
    <t xml:space="preserve">Some communities want to include a payload information such as a thumbnail image in the case of DiSSCo’s Digital Enhanced Specimen FDO. 
</t>
  </si>
  <si>
    <t>Responsibility [publisher]</t>
  </si>
  <si>
    <t>"contributor": {"@type": "Role",
  "roleName": {roleTerm--string or DefinedTerm},
 "contributor": {"@type": "Person or Organization".... standard Person or Org content</t>
  </si>
  <si>
    <t>The publisher of the creative work</t>
  </si>
  <si>
    <t>publisher</t>
  </si>
  <si>
    <t>FDOF ResponsibleOrganisation</t>
  </si>
  <si>
    <t>note that this can be another organisation than the PID issuer. the value is taken from the ROR registry value domain (or other with namespace id). Implement as responsible part with an Agent (name, ID, contactInformation) and Role (e.g. ISO19115-1 RoleCode vocabulary)</t>
  </si>
  <si>
    <t>dcterms:publisher (R)</t>
  </si>
  <si>
    <t>Publisher (M)</t>
  </si>
  <si>
    <t>Responsible party (role: "publisher")</t>
  </si>
  <si>
    <t>MD_Identification/citation//citedResponsibleParty//name [role = publisher]</t>
  </si>
  <si>
    <t>Dataset Publisher</t>
  </si>
  <si>
    <t>registryObject:collection:citationInfo:citationMetadata:publisher OR registryObject@Group</t>
  </si>
  <si>
    <t>Publisher - dcterms:publisher</t>
  </si>
  <si>
    <t>Publisher (R)</t>
  </si>
  <si>
    <t>Publisher/ Provider (M)</t>
  </si>
  <si>
    <t>ResourceHeader/Contact[@role=Publisher]</t>
  </si>
  <si>
    <t>Responsibility [editor]</t>
  </si>
  <si>
    <t>Specifies the Person who edited the CreativeWork.</t>
  </si>
  <si>
    <t>editor</t>
  </si>
  <si>
    <t>contributor [contributortype="Editor"]</t>
  </si>
  <si>
    <t>MD_Identification/citation//citedResponsibleParty//name [role = editor]</t>
  </si>
  <si>
    <t>Responsibility [maintainer]</t>
  </si>
  <si>
    <t>Distribution Agent</t>
  </si>
  <si>
    <t>FDO Responsible Organisation</t>
  </si>
  <si>
    <t>after creation, the same or another organisation will be responsible for further management of the FDO. The Responsible Organisation equals the FDO Creator if available by default (mandatory attribute)  [equat with Resource point of contact]</t>
  </si>
  <si>
    <t>Responsibility [resource point of contact]</t>
  </si>
  <si>
    <t>A contact point, e.g. email, telephone, address</t>
  </si>
  <si>
    <t>contactPoint</t>
  </si>
  <si>
    <t>contacts</t>
  </si>
  <si>
    <t>array of contact, each has {name, position, organization, logo, phone, email, address, links, roles}</t>
  </si>
  <si>
    <t>dcat:contactPoint (R)</t>
  </si>
  <si>
    <t>dcat:contactPoint</t>
  </si>
  <si>
    <t>contributor [contributortype="ContactPerson"]</t>
  </si>
  <si>
    <t>Responsible party (role: "point of contact")</t>
  </si>
  <si>
    <t>MD_Identification/pointOfContact//name (for the resource); MD_Metadata/contact//name (for the metadata record)</t>
  </si>
  <si>
    <t>dcterms:mediator</t>
  </si>
  <si>
    <t>dct:contactPoint</t>
  </si>
  <si>
    <t>contact</t>
  </si>
  <si>
    <t>Access Contact (M)</t>
  </si>
  <si>
    <t>ResourceHeader/Contact</t>
  </si>
  <si>
    <t>Funding</t>
  </si>
  <si>
    <t>"funding" :
{ "@id": "URI for grant",
"@type": "MonetaryGrant",
"identifier": "grant id",
"name": "grant title",
"funder":
{ "@id": "ror for org",
"@type": "Organization",
"name": "org name",
"identifier": [ "other identifiers" ] } }</t>
  </si>
  <si>
    <t>A person or organization that supports (sponsors) something through some kind of financial contribution. Use schema.org encoding and science on schema.org pattern. Other organization properties can be included in the funder/Organization.</t>
  </si>
  <si>
    <t>funder</t>
  </si>
  <si>
    <t>fundingReference</t>
  </si>
  <si>
    <t>MD_Identification/credit  or MD_Identification/citation//citedResponsibleParty//name [role = funder]</t>
  </si>
  <si>
    <t>Grant information</t>
  </si>
  <si>
    <t>acknowledges (O)</t>
  </si>
  <si>
    <t xml:space="preserve">relatedObject|relatedInfo party/name where relation=isFundedBy        </t>
  </si>
  <si>
    <t>dcterms:contributor</t>
  </si>
  <si>
    <t>grantNo (agency)</t>
  </si>
  <si>
    <t>ResourceHeader/Funding/Agency</t>
  </si>
  <si>
    <t>publication policy</t>
  </si>
  <si>
    <t>Policies</t>
  </si>
  <si>
    <t>"publishingPrinciples": [ {"@type": "CreativeWork"}.... ]</t>
  </si>
  <si>
    <t xml:space="preserve">FDOF digitalObjectMutability, </t>
  </si>
  <si>
    <t>FDOF digitalObjectMutability</t>
  </si>
  <si>
    <t>This attribute indicates whether the included bit-sequence is mutable or immutable. See above.  Is a new version (at least in the bug fix part) created when some bits are changes?</t>
  </si>
  <si>
    <t>RDA digitalObjectPolicy, FDOF PersistencyPolicy. Policies related to maintenance, update, expected time to live.</t>
  </si>
  <si>
    <t xml:space="preserve">RDA digitalObjectPolicy | </t>
  </si>
  <si>
    <t xml:space="preserve">Pointer to a policy object which documents changes to the object or its Kernel Information record, including particularly object access and modification policies. A caller should be able to determine the expected future changes to the object from the policy, which are based on managed processes the object owner maintains.  RDA recommendation suggest content should include objectLifeCycleType, objectTombstoneInformation, objectLicense.  [Seems like FDOF PersistencyPolicy. And digitalObjectMutability could all be lumped in one statement. ]
</t>
  </si>
  <si>
    <t>odrl:hasPolicy</t>
  </si>
  <si>
    <t>timeToLive</t>
  </si>
  <si>
    <t>conditionsOfAccess: string or CreativeWork</t>
  </si>
  <si>
    <t>text statement of conditions for use and access, including expected time to live  recommend using schema:CreativeWork to provide a label (name) and an identifier (URI or URL).</t>
  </si>
  <si>
    <t>FDOF PersistencyPolicy</t>
  </si>
  <si>
    <t>this attribute indicates what the intention of its creator is with respect to its life-time/maintenance, and value domain is a vocabulary with {UNKNOWN, NONE, ##Years} (note: seems only partly covered by RDA digitalObjectPolicy. see Kunze, J., 2016, "Persistence statements: describing digital stickiness" https://n2t.net/ark:/13030/c7833mx7t; also See http://cor.esipfed.org/ont/earthcube/ECRRO_0000219 and  http://cor.esipfed.org/ont/earthcube/ELT</t>
  </si>
  <si>
    <t>Links</t>
  </si>
  <si>
    <t>related resource</t>
  </si>
  <si>
    <t>"relatedLink": [{"@type":"LinkRole", "linkRelationship": {rel term, strirng or DefinedTerm},
"target: {"@type": "EntryPoint",
"encodingType": {appropriate MIME type},
"name": "...",
"url": "resolvable HTTP URI" } } ]</t>
  </si>
  <si>
    <t>A pointer to another, somehow related product (or multiple products).</t>
  </si>
  <si>
    <t>isRelatedTo</t>
  </si>
  <si>
    <t>Optional relations (from RDA kernel spec) {Prov-DM wasDerivedFrom,Prov-DM specializationOf,Prov-DM wasRevisionOf,Prov-DM hadPrimarySource,Prov-DM wasQuotedFrom,Prov-DM alternateOf}</t>
  </si>
  <si>
    <t>array of link, with {href, rel, type, hreflang, title, templated, variables, created, updated}. A list of links for accessing the resource (e.g. download link, access link) in one of the supported distribution formats and/or links to other resources associated with this resource. Also, a list of links for navigating the API (e.g. prev, next, etc.).  Since the specification requires that at least the self link be present then the min items for this list should be one.</t>
  </si>
  <si>
    <t>dcterms:relation</t>
  </si>
  <si>
    <t>dcterms:relation | dcat:qualifiedRelation</t>
  </si>
  <si>
    <t>relatedIdentifier</t>
  </si>
  <si>
    <t>MD_Identifcation/associatedResource/name/CI_Citation [associationType = 'crossReference']</t>
  </si>
  <si>
    <t>dct:relation</t>
  </si>
  <si>
    <t>Distribution</t>
  </si>
  <si>
    <t>Distribution object</t>
  </si>
  <si>
    <t>A downloadable form of this dataset, at a specific location, in a specific format.  (The description of the location for download of the dataset and the file format for download.)</t>
  </si>
  <si>
    <t>Schema:Dataset</t>
  </si>
  <si>
    <t>distribution</t>
  </si>
  <si>
    <t>see Link</t>
  </si>
  <si>
    <t>dcat:distribution (R)</t>
  </si>
  <si>
    <t>dcat:distribution</t>
  </si>
  <si>
    <t>Distribution information</t>
  </si>
  <si>
    <t>MD_Metadata/distributionInfo/MD_Distribution/transferOptions</t>
  </si>
  <si>
    <t>distribution (R)</t>
  </si>
  <si>
    <t>location/address/electronic @type="url" @ target="directDownload"</t>
  </si>
  <si>
    <t>distrbtr (URI)</t>
  </si>
  <si>
    <t>Distribution.Access Instructions</t>
  </si>
  <si>
    <t>dcat:Distribution/dcat:description</t>
  </si>
  <si>
    <t>Distribution.url</t>
  </si>
  <si>
    <t>1..* (either contentURL or url)</t>
  </si>
  <si>
    <t>"distribution":
{ "@type": "DataDownload",
"contentUrl": {URL },\... }</t>
  </si>
  <si>
    <t>Actual bytes of the media object, for example the image file or video file.</t>
  </si>
  <si>
    <t>Schema:DataDownload</t>
  </si>
  <si>
    <t>distribution.contentUrl</t>
  </si>
  <si>
    <t>RDA digitalObjectLocation</t>
  </si>
  <si>
    <t>In the case that the FDO includes bit-sequences as illustrated for example in FDO configuration type 8 it is mandatory that the PID record contains the location either as an URL or a PID.  This is URL in a metadata record for which the target resource is a digital object, or the contentURL or accessURL if the target resource is a non-digital object with one or more distribution representations.</t>
  </si>
  <si>
    <t>dcat:Distribution/dcat:downloadURL (O)</t>
  </si>
  <si>
    <t xml:space="preserve">dcat:Distribution/dcat:downloadURL </t>
  </si>
  <si>
    <t>Online resource (function: "download"): linkage</t>
  </si>
  <si>
    <t>MD_Metadata/distributionInfo//online//linkage [function = download]</t>
  </si>
  <si>
    <t>accessURL</t>
  </si>
  <si>
    <t>access (M)</t>
  </si>
  <si>
    <t>AccessInformation/AccessURL/URL</t>
  </si>
  <si>
    <t>URL</t>
  </si>
  <si>
    <t>"url":{URL}</t>
  </si>
  <si>
    <t>Location of a resource landing page</t>
  </si>
  <si>
    <t>url</t>
  </si>
  <si>
    <t>dcat:Distribution/dcat:accessURL (M)</t>
  </si>
  <si>
    <t>dcat:Distribution/dcat:accessURL (M) | dcat:landingPage</t>
  </si>
  <si>
    <t>Online resource (function: information")</t>
  </si>
  <si>
    <t>distributionInfo//transferOptions//onLine//linkage [function = information]</t>
  </si>
  <si>
    <t>url (M)</t>
  </si>
  <si>
    <t>RDA key= URL of record.
"https://researchdata.ands.org.au/view?key=&lt;insert key&gt;"</t>
  </si>
  <si>
    <t>dc:identifier (if URL)</t>
  </si>
  <si>
    <t>accsPlac</t>
  </si>
  <si>
    <t>Variable measured</t>
  </si>
  <si>
    <t>"variableMeasured":  [ { "@type":"PropertyValue",
  "@id": "astm:var0011",
  "propertyID": [ "pato:PATO_0000025",
   "astm:prop/0405" ],
  "name": "hostMineral",
  "description": "...." }...]</t>
  </si>
  <si>
    <t>Variables with values reported in some dataset, for example, temperature or pressure.  Follow ESIPfed Science on Schema.org recommendation, see also discussion for representing more complex data structures in ESIPfed Experimental and the Data Integration module of CDIF. Variable must have a name and description, should have a propertyID with URI for the represented concept. The URI in the propertyID provides the semantic linkage for meaning of the variable.</t>
  </si>
  <si>
    <t>schema:Dataset</t>
  </si>
  <si>
    <t>variableMeasured</t>
  </si>
  <si>
    <t>MD_Metadata/contentInfo//featureCatalogue [requires import of ISO 19110]</t>
  </si>
  <si>
    <t>variableMeasured (R)</t>
  </si>
  <si>
    <t>dimensions (O)</t>
  </si>
  <si>
    <t>variablesMeasured (R)</t>
  </si>
  <si>
    <t>measure</t>
  </si>
  <si>
    <t>Parameter</t>
  </si>
  <si>
    <t>"variableMeasured":
[ { "@type":"StatisticalVariable",
"@id": "astm:var0011",
"@type": "StatisticalVariable",
 "measuredProperty":
  {"@type":"Property",   "identifier":"astm:id/305978",
  "name":"Average age"}]</t>
  </si>
  <si>
    <t>Statistical variable offers properties useful for describing social science statistical variables like populationType and statType. Use of StatisticalVariable is preferred for variables with values calculated from some aggregation process.</t>
  </si>
  <si>
    <t>Checksum</t>
  </si>
  <si>
    <t>"distribution\": \[ { \"@type\": \"DataDownload\", \"spdx:checksum\": {
  "spdx:algorithm":"string",
   "spdx:checksumValue":"string" },.. }\...\]</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</si>
  <si>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</si>
  <si>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RDA checksum (or etag)</t>
  </si>
  <si>
    <t>Checksum of object contents. Checksum format is determined via the attribute type referenced in a Kernel Information record. Called etag in https://docs.google.com/document/d/1QVUR6vlp6s6LxZndMslym9pmM90rFUR6__q3cuXSQf8/edit#heading=h.z337ya</t>
  </si>
  <si>
    <t>dcat:Distribution/spdx:checksumValue</t>
  </si>
  <si>
    <t>Identifier [metadata]</t>
  </si>
  <si>
    <t>Metadata ID</t>
  </si>
  <si>
    <t>"subjectOf"/"@id":{URI} or "@id":{uri} in a separate graph node with "about":"@id" linking to the node containing the resource description</t>
  </si>
  <si>
    <t>The node identifier in the subjectOf value node identifies the metadata about the metadataRecord.</t>
  </si>
  <si>
    <t>id (R)</t>
  </si>
  <si>
    <t>A unique identifier of the catalogue record.</t>
  </si>
  <si>
    <t>Metadata target</t>
  </si>
  <si>
    <t>Metadata management information</t>
  </si>
  <si>
    <t>subjectOf/about/{@id : [id of metadata record]}</t>
  </si>
  <si>
    <t>The subjectOf node contains information about the metadata record (not the resource the metadata record describes). The about property links the subjectOf node to the metadata record it describes.  Analogous to DCAT Catalog record</t>
  </si>
  <si>
    <t>dcat:CatalogRecord/foaf:PrimaryTopic</t>
  </si>
  <si>
    <t>Date [metadata modified]</t>
  </si>
  <si>
    <t xml:space="preserve">Metadata Date </t>
  </si>
  <si>
    <t>"subjectOf"/"dateModified":{Date or DateTime}</t>
  </si>
  <si>
    <t>Date of most recent update to the metadata record content.</t>
  </si>
  <si>
    <t>subjectOf/"dateModified":{Date or DateTime}</t>
  </si>
  <si>
    <t>updated</t>
  </si>
  <si>
    <t>The most recent date on which the record was changed., date-time</t>
  </si>
  <si>
    <t>dcat:CatalogRecord/dcterms:modified</t>
  </si>
  <si>
    <t xml:space="preserve">MD_Metadata/dataInfo [dateType = lastUpdate] </t>
  </si>
  <si>
    <t>Profile [metadata]</t>
  </si>
  <si>
    <t>Metadata profile identifier</t>
  </si>
  <si>
    <t>1..*</t>
  </si>
  <si>
    <t>"subjectOf"/"dcterms:conformsTo": {identifier}</t>
  </si>
  <si>
    <t>specification of content model and serialization implemented by the metadata record</t>
  </si>
  <si>
    <t>Profile</t>
  </si>
  <si>
    <t xml:space="preserve">The Kernel metadata profile is a schema that determines the attribute requirements for FDO metadata beyond the base requirements. In the FDO world, the kernel profile specifies Kernel information about the resource associated with an identifier.   </t>
  </si>
  <si>
    <t>conformsTo</t>
  </si>
  <si>
    <t>A list of identifiers indicating that the record conforms to one or more
  extensions.  Ideally, the requirements of each listed extension is formally
  published.</t>
  </si>
  <si>
    <t>dcat:CatalogRecord/dcterms:conformsTo</t>
  </si>
  <si>
    <t>Responsibility [metadata point of contact]</t>
  </si>
  <si>
    <t>Metadata Contact Agent</t>
  </si>
  <si>
    <t>"subjectOf"/"maintainer":{Person or Organization}</t>
  </si>
  <si>
    <t xml:space="preserve">Should include a name and contact point (institutional e-mail is best) for the agent responsible for metadata content. This is the contact point to report problems with metadata content. </t>
  </si>
  <si>
    <t>embargo</t>
  </si>
  <si>
    <t>Resources may be embargoed from public access until a specified date (e.g. pending publication, 1 year from publication)</t>
  </si>
  <si>
    <t xml:space="preserve">(schema:ParcelDelivery)
</t>
  </si>
  <si>
    <t xml:space="preserve">expectedArriveFrom/expectedArrivalUntil
</t>
  </si>
  <si>
    <t>set dcterms:issued to future release date?</t>
  </si>
  <si>
    <t>date[dateType=available]</t>
  </si>
  <si>
    <t>MD_Identification/citation//date [dateType = released]</t>
  </si>
  <si>
    <t>distribution date</t>
  </si>
  <si>
    <t>dcterms:available</t>
  </si>
  <si>
    <t>codemeta:SoftwareSourceCode:embargoDate</t>
  </si>
  <si>
    <t>Alternate identifier</t>
  </si>
  <si>
    <t>sameAs: string or PropertyValue</t>
  </si>
  <si>
    <t>URL of a reference Web page that unambiguously indicates the item's identity. E.g. the URL of the item's Wikipedia page, Wikidata entry, or official website.</t>
  </si>
  <si>
    <t>Identifier for the described resource; ideally a resolvable HTTP URI, but any URI may be used. If multiple identifiers are availble choose one here, others go in schema:sameAs</t>
  </si>
  <si>
    <t>owl:sameAs
skos:exactMatch</t>
  </si>
  <si>
    <t>alernateIdentifier(O)*</t>
  </si>
  <si>
    <t>MD_Identification/citation//identifier//code  (use authority or codespace in MD_Identifier to indicate context for this alternate identifier)</t>
  </si>
  <si>
    <t>sameAs (O)</t>
  </si>
  <si>
    <t>Alternative URl</t>
  </si>
  <si>
    <t>alternateIdentifier (O)</t>
  </si>
  <si>
    <t>Related resource identifiers, with relation type indicator (R)</t>
  </si>
  <si>
    <t>sameAs</t>
  </si>
  <si>
    <t>ResourceHeader/InformationURL/URL</t>
  </si>
  <si>
    <t>Alternate name</t>
  </si>
  <si>
    <t>alternateName:string</t>
  </si>
  <si>
    <t>An alias for the item (Alternative names that have been used to refer to this dataset, such as aliases or abbreviations.). Not in current recommendation, implemenation suggested here.</t>
  </si>
  <si>
    <t>alternateName</t>
  </si>
  <si>
    <t>rdfs:label
skos:altLabel</t>
  </si>
  <si>
    <t>title[TitleType in {AlternativeTitle, Subtitle, TranslatedTitle, Other}</t>
  </si>
  <si>
    <t>MD_Identification/citation//alternateTitle(O)</t>
  </si>
  <si>
    <t>Alternative title</t>
  </si>
  <si>
    <t>dcterms:alternative</t>
  </si>
  <si>
    <t>altTitl</t>
  </si>
  <si>
    <t>ResourceHeader/AlternateName</t>
  </si>
  <si>
    <t>ContentSize</t>
  </si>
  <si>
    <t>distribution/ DataDownload/ contentSize: Text</t>
  </si>
  <si>
    <t>File size in (mega/kilo) bytes. (schema).  The size of a distribution in bytes. The size in bytes can be approximated (as a non-negative integer) when the precise size is not known. While it is recommended that the size be given as an integer, alternative literals such as '1.5 MB' are sometimes used.  Not in current CDIF recommendation, implementation suggested here.</t>
  </si>
  <si>
    <t>schema:MediaObject</t>
  </si>
  <si>
    <t>contentSize</t>
  </si>
  <si>
    <t>dcat:byteSize(O)</t>
  </si>
  <si>
    <t>dcat:byteSize</t>
  </si>
  <si>
    <t>Size(O)*</t>
  </si>
  <si>
    <t>MD_Metadata/distributionInfo//transferOptions//transferSize (and unitsOfDistribution)</t>
  </si>
  <si>
    <t>size(R)</t>
  </si>
  <si>
    <t>collSize</t>
  </si>
  <si>
    <t>Data quality</t>
  </si>
  <si>
    <t>Quality</t>
  </si>
  <si>
    <t>"dqv:hasQualityMeasurement": [
{ "@type": "dqv:QualityMeasurement",
 "dqv:isMeasurementOf":  {identifier for quality measure},   "dqv:value": {result value} },
.... ]</t>
  </si>
  <si>
    <t>Quality assesment or measument conducted using procedure or protocol specified by the dqv:isMeasurementOf property, with result value specified in the dqv:value property. The result might be numeric, a categorical term, or a link to a document describing the quality assessment.</t>
  </si>
  <si>
    <t>dcat:conformsTo</t>
  </si>
  <si>
    <t>MD_Metdata/dataQualityInfo/DQ_DataQuality  (import ISO19157)</t>
  </si>
  <si>
    <t>Date [copyright]</t>
  </si>
  <si>
    <t>copyrightYear: number</t>
  </si>
  <si>
    <t>The year during which the claimed copyright for the CreativeWork was first asserted. Not in current CDIF recommendation, implementation suggested here.</t>
  </si>
  <si>
    <t>copyrightYear</t>
  </si>
  <si>
    <t>Date[dateType=Copyrighted]</t>
  </si>
  <si>
    <t>MD_Identification/citation//date [dateType = https://schema.org/copyrightYear]</t>
  </si>
  <si>
    <t>Date[metadata created]</t>
  </si>
  <si>
    <t>subjectOf/dateCreated: date or dateTime</t>
  </si>
  <si>
    <t>Not in current CDIF recommendation; suggested implementation here</t>
  </si>
  <si>
    <t>Date of creation of this record, date-time</t>
  </si>
  <si>
    <t xml:space="preserve">MD_Metadata/dataInfo [dateType = creation] </t>
  </si>
  <si>
    <t>encodingFormat</t>
  </si>
  <si>
    <t>[distribution/DataDownload/] encodingFormat:  string</t>
  </si>
  <si>
    <t>Media type typically expressed using a MIME format. Schema.org encodingFormat outside of a distribution means there is only one distribution format.  Not in current CDIF recommendation; suggested implementation here</t>
  </si>
  <si>
    <t>formats</t>
  </si>
  <si>
    <t>A list of available distributions of the resource, each is a string.</t>
  </si>
  <si>
    <t>dcterms:format (R) | dcat:mediaType(O)</t>
  </si>
  <si>
    <t>dcat:mediaType
dcterms:format</t>
  </si>
  <si>
    <t>format(O)*</t>
  </si>
  <si>
    <t>MD_Metadata/distributionInfo//transferOptions//distributionFormat//medium//name</t>
  </si>
  <si>
    <t>format (R)</t>
  </si>
  <si>
    <t>distribution.format</t>
  </si>
  <si>
    <t xml:space="preserve">collection/address/electronic[@target='directDownload']/mediaType        </t>
  </si>
  <si>
    <t>dct:format (R) dct:mediaType(O)</t>
  </si>
  <si>
    <t>encordingFormat</t>
  </si>
  <si>
    <t>format
medium</t>
  </si>
  <si>
    <t>AccessInformation/Format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</si>
  <si>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</si>
  <si>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fileFormat (superseded by encordingFormat)</t>
  </si>
  <si>
    <t>dcat:mediaType</t>
  </si>
  <si>
    <t>Format (O)*</t>
  </si>
  <si>
    <t>format</t>
  </si>
  <si>
    <t>fileFormat</t>
  </si>
  <si>
    <t>inLanguage [resource]</t>
  </si>
  <si>
    <t>[distribution/DataDownload/] inLanguage: string</t>
  </si>
  <si>
    <t>The language of the content or performance or used in an action.  Please use one of the language codes from the IETF BCP 47 standard.  Schema.org inLanguage outside of a distribution means there is only one distribution format, and content is in that language.  Not in current CDIF recommendation; suggested implementation here</t>
  </si>
  <si>
    <t>inLanguage</t>
  </si>
  <si>
    <t>resourceLanguages</t>
  </si>
  <si>
    <t>The list of languages in which the resource described by this record is available.</t>
  </si>
  <si>
    <t>dcterms:language (R)</t>
  </si>
  <si>
    <t>dcterms:language</t>
  </si>
  <si>
    <t>language (O)</t>
  </si>
  <si>
    <t>Resource language</t>
  </si>
  <si>
    <t>MD_DataIdentification/language (for resource content language)</t>
  </si>
  <si>
    <t>Language</t>
  </si>
  <si>
    <t>(default to English) "en"</t>
  </si>
  <si>
    <t>Language - dcterms:language</t>
  </si>
  <si>
    <t>Language (O)</t>
  </si>
  <si>
    <t>language</t>
  </si>
  <si>
    <t>Language (R)</t>
  </si>
  <si>
    <t>inLanguage [metadata]</t>
  </si>
  <si>
    <t>subjectOf/inLanguage</t>
  </si>
  <si>
    <t>language | languages</t>
  </si>
  <si>
    <t>The language used for textual values in this record representation. | list of languages in which this record is available.</t>
  </si>
  <si>
    <t xml:space="preserve">MD_Metadata/language (for metadata record content language); </t>
  </si>
  <si>
    <t>isAccessibleForFree</t>
  </si>
  <si>
    <t>isAccessibleForFree: boolean</t>
  </si>
  <si>
    <r>
      <rPr>
        <sz val="10"/>
        <color rgb="FF24292E"/>
        <rFont val="Arial"/>
        <family val="2"/>
      </rPr>
      <t xml:space="preserve">A flag to signal that the publication is accessible for free.  recommended in Science on </t>
    </r>
    <r>
      <rPr>
        <u/>
        <sz val="10"/>
        <color rgb="FF1155CC"/>
        <rFont val="Arial"/>
        <family val="2"/>
      </rPr>
      <t>Schema.org</t>
    </r>
    <r>
      <rPr>
        <sz val="10"/>
        <color rgb="FF24292E"/>
        <rFont val="Arial"/>
        <family val="2"/>
      </rPr>
      <t xml:space="preserve"> specification. Not in CDIF profile, suggested implemenation here. </t>
    </r>
  </si>
  <si>
    <t>avlStatus
dataAccs</t>
  </si>
  <si>
    <t>Link</t>
  </si>
  <si>
    <t>A citation or reference to another creative work, such as another publication, web page, scholarly article, etc.  (Identifies academic articles that are recommended by the data provider be cited in addition to the dataset itself. Provide the citation for the dataset itself with other properties, such as name, identifier, creator, and publisher properties. For example, this property can uniquely identify a related academic publication such as a data descriptor, data paper, or an article for which this dataset is supplementary material for.)</t>
  </si>
  <si>
    <t>citation</t>
  </si>
  <si>
    <t>dcat:qualifiedRelation</t>
  </si>
  <si>
    <t>relatedItems or relatedIdentifier[relationType=IsReferencedBy] | relatedIdentier[relationType=IsDocumentedBy]</t>
  </si>
  <si>
    <t>MD_Identification/associatedResource//CI_Citation (suggest using associationType from dataCite vocabulary)</t>
  </si>
  <si>
    <t>citation (O)
referenceCitation(O)</t>
  </si>
  <si>
    <t>Related Publication</t>
  </si>
  <si>
    <t>primaryPublication/ citations (O)</t>
  </si>
  <si>
    <t>collection/relatedInfo[@type='publication']
OR
relatedObject:collection where related collection [@type='publication']</t>
  </si>
  <si>
    <t>dcterms:isReferencedBy
dc:relation</t>
  </si>
  <si>
    <t>citation (R)</t>
  </si>
  <si>
    <t>relPubl(biblCit)</t>
  </si>
  <si>
    <t>ResourceHeader/PublicationInfo</t>
  </si>
  <si>
    <t>TBD (use for multi part bundles treated as a single resource)</t>
  </si>
  <si>
    <t>Indicates a CreativeWork that is (in some sense) a part of this CreativeWork. Reverse property isPartOf</t>
  </si>
  <si>
    <t>hasPart</t>
  </si>
  <si>
    <t>dcterms:hasPart (R)</t>
  </si>
  <si>
    <t>dcterms:hasPart</t>
  </si>
  <si>
    <t>relatedIdentier[relationType=HasPart]</t>
  </si>
  <si>
    <t>MD_Identifcation/associatedResource/name/CI_Citation [associationType = 'isComposedOf']</t>
  </si>
  <si>
    <t>includes(Dataset) (R)</t>
  </si>
  <si>
    <t>hasPart (O)</t>
  </si>
  <si>
    <t xml:space="preserve">relatedObject|relatedInfo collection where relation[@type='hasPart']        </t>
  </si>
  <si>
    <t>subjectOf/includedInDataCatalog: URL, string, or ID reference</t>
  </si>
  <si>
    <t>A data catalog which contains this dataset. (The catalog to which the dataset belongs.)    Not in current CDIF recommendation; suggested implementation here</t>
  </si>
  <si>
    <t>includedInDataCatalog</t>
  </si>
  <si>
    <t>dcterms:isPartOf</t>
  </si>
  <si>
    <t>relatedIdentier[relationType=IsPartOf] (dubious mappping)</t>
  </si>
  <si>
    <t>MD_Identification/associatedResource/name/CI_Citation [associationType = 'collectiveTitle']</t>
  </si>
  <si>
    <t>includedIn(R)</t>
  </si>
  <si>
    <t>distribution.storedIn (O)</t>
  </si>
  <si>
    <t>includedInDataCatalog (M)</t>
  </si>
  <si>
    <t>Use prov:wasDerivedFrom</t>
  </si>
  <si>
    <t>A resource from which this work is derived or from which it is a modification or adaption</t>
  </si>
  <si>
    <t>isBasedOn</t>
  </si>
  <si>
    <t>dcterms:source(O)</t>
  </si>
  <si>
    <t>dcterms:source</t>
  </si>
  <si>
    <t>relatedIdentier[relationType=IsDerivedFrom]</t>
  </si>
  <si>
    <t>MD_Metadata/resourceLineage//source//sourceCitation</t>
  </si>
  <si>
    <t>dc:source</t>
  </si>
  <si>
    <t>derivation</t>
  </si>
  <si>
    <t>Indicates a CreativeWork that this CreativeWork is (in some sense) part of. Reverse property hasPart.  If the dataset is a collection of smaller datasets, use the hasPart property to denote such relationship. Conversly, if the dataset is part of a larger dataset, use isPartOf.</t>
  </si>
  <si>
    <t>isPartOf</t>
  </si>
  <si>
    <t>dcterms:isPartOf (R)</t>
  </si>
  <si>
    <t>relatedIdentier[relationType=isPartOf]</t>
  </si>
  <si>
    <t>MD_Identifcation/associatedResource/name/CI_Citation [associationType = 'largerWorkCitation']</t>
  </si>
  <si>
    <r>
      <t xml:space="preserve">
</t>
    </r>
    <r>
      <rPr>
        <sz val="10"/>
        <color rgb="FF24292E"/>
        <rFont val="Arial"/>
        <family val="2"/>
      </rPr>
      <t>includedIn(Dataset) (R)</t>
    </r>
  </si>
  <si>
    <t xml:space="preserve">relatedObject|relatedInfo collection where relation[@type='isPartOf']        </t>
  </si>
  <si>
    <t>ParentID (only for Granule resource type)</t>
  </si>
  <si>
    <t>use relatedResource, role mentions</t>
  </si>
  <si>
    <t>Indicates that the CreativeWork contains a reference to, but is not necessarily about a concept.</t>
  </si>
  <si>
    <t>mentions</t>
  </si>
  <si>
    <t>relatedIdentier[relationType=References]</t>
  </si>
  <si>
    <t>use relatedResource, role 'hasVersion'</t>
  </si>
  <si>
    <t>has version</t>
  </si>
  <si>
    <t>dcat:hasVersion</t>
  </si>
  <si>
    <t>relatedIdentier[relationType=hasVersion]</t>
  </si>
  <si>
    <t>MD_Identification/associatedResource</t>
  </si>
  <si>
    <t>hasVersion</t>
  </si>
  <si>
    <t>use relatedResource, role 'isVersionOf'</t>
  </si>
  <si>
    <t>is version of</t>
  </si>
  <si>
    <t>dcat:isVersionOf</t>
  </si>
  <si>
    <t>relatedIdentier[relationType=IsVersionOf]</t>
  </si>
  <si>
    <t>isVersionOf</t>
  </si>
  <si>
    <t>subjectOf/Dataset</t>
  </si>
  <si>
    <t>Use to link metadata record about the resource to metadata about the metadata record, e.g. {resource subjectOf metadata}</t>
  </si>
  <si>
    <t>schema:CreativeWork or
schema:Thing</t>
  </si>
  <si>
    <t>subjectOf</t>
  </si>
  <si>
    <t>relatedIdentier[relationType=HasMetadata]</t>
  </si>
  <si>
    <t>measurementTechnique</t>
  </si>
  <si>
    <t>variableMeasured/PropertyValue/ measurementTechnique: string or DefinedTerm</t>
  </si>
  <si>
    <t>A technique or technology used in a Dataset (or DataDownload, DataCatalog), corresponding to the method used for measuring the corresponding variable(s). A text description of the measurement method used to determine values for this variable. If standard measurement protocols are defined and registered, these can be identified via http URI's.  Not in current CDIF recommendation; suggested implementation here</t>
  </si>
  <si>
    <t>schema:Dataset
schema:DataCatalog
schema.DataDowload</t>
  </si>
  <si>
    <t xml:space="preserve">MD_Metadata/resourceLineage//statement </t>
  </si>
  <si>
    <t>measurementTechniques (R)*</t>
  </si>
  <si>
    <t>measurementTechnique (R)</t>
  </si>
  <si>
    <t>instrumentDevelopment</t>
  </si>
  <si>
    <t>MeasurementType</t>
  </si>
  <si>
    <t>Responsibility [copyright holder]</t>
  </si>
  <si>
    <t>Related agent</t>
  </si>
  <si>
    <t>The party holding the legal copyright to the CreativeWork.</t>
  </si>
  <si>
    <t>copyrightHolder</t>
  </si>
  <si>
    <t>dcterms:rightsHolder (O)</t>
  </si>
  <si>
    <t>MD_Identification/resourceConstaints//responsibleParty//name [restrictionCode = copyright]</t>
  </si>
  <si>
    <t>Responsibility [producer]</t>
  </si>
  <si>
    <t>The person or organization who produced the work (e.g. music album, movie, tv/radio series etc.).</t>
  </si>
  <si>
    <t>producer</t>
  </si>
  <si>
    <t>contributor [contributorType="Producer"]</t>
  </si>
  <si>
    <t>MD_Identification/citation//citedResponsibleParty//name [role = https://schema.org/producer]</t>
  </si>
  <si>
    <t>Producer</t>
  </si>
  <si>
    <t>Temporal</t>
  </si>
  <si>
    <t>repeatFrequency: string  or xsd:duration</t>
  </si>
  <si>
    <t>The frequency at which Events will occur according to a schedule. The intervals between events should be defined as a Duration of time. Not in Current CDIF recommendation, suggest following DCAT usage (dcterms:accrualPeriodicity = schema:repeatFrequency</t>
  </si>
  <si>
    <t>schema:Thing:Schedule</t>
  </si>
  <si>
    <t>repeatFrequency</t>
  </si>
  <si>
    <t>dcterms:accrualPeriodicity</t>
  </si>
  <si>
    <t>MD_Metadata/distributionInfo//transferOptions//transferFrequency</t>
  </si>
  <si>
    <t>Temporal resolution</t>
  </si>
  <si>
    <t>dcat:temporalResolution: xsd:duration</t>
  </si>
  <si>
    <t>Minimum time period resolvable in the dataset. If the dataset is a time-series this should correspond to the spacing of items in the series. For other kinds of dataset, this property will usually indicate the smallest time difference between items in the dataset.(DCAT3). Not in Current CDIF recommendation, suggest following DCAT usage</t>
  </si>
  <si>
    <t>dcat:temporalResolution</t>
  </si>
  <si>
    <t>Provenance</t>
  </si>
  <si>
    <t>"prov:wasGeneratedBy": { "@type": "prov:Activity", "prov:used": [ "nerc:collection/L05/current/134", "nerc:collection/B76/current/B7600031" ] },</t>
  </si>
  <si>
    <t>Identify sensors, instruments, platforms, software, algorithms etc. used in the creation of the described resource</t>
  </si>
  <si>
    <t>dcterms:provenance</t>
  </si>
  <si>
    <t>dcat:qualifiedRelation
prov:generatedBy
prov:qualifiedGeneration</t>
  </si>
  <si>
    <t>MD_Metadata/resourceLineage</t>
  </si>
  <si>
    <t>"prov:wasDerivedFrom": [ string, ID reference, or labeledLink ],</t>
  </si>
  <si>
    <t>references or citations (text) to sources of data or interpretations used in generation of the resource.</t>
  </si>
  <si>
    <t>dcat:qualifiedRelation
prov:wasDerivedFrom</t>
  </si>
  <si>
    <t>MD_Metadata/resourceLineage/source</t>
  </si>
  <si>
    <t>method
relation
software</t>
  </si>
  <si>
    <t>RevisionHistory*</t>
  </si>
  <si>
    <t>Service Type</t>
  </si>
  <si>
    <t>ServiceType</t>
  </si>
  <si>
    <t>[1] for webAPI distribution</t>
  </si>
  <si>
    <t>"distribution"/"WebAPI"/
"serviceType": "string"</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</si>
  <si>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</si>
  <si>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dcat:DataService/dcterms:type</t>
  </si>
  <si>
    <t>Service description</t>
  </si>
  <si>
    <t>Service description document</t>
  </si>
  <si>
    <t>0..1  for webAPI distribution</t>
  </si>
  <si>
    <t>“distribution”/”WebAPI”/”documentation”: “string” OR CreativeWork</t>
  </si>
  <si>
    <t>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t>
  </si>
  <si>
    <t>dcat:endpointDescription</t>
  </si>
  <si>
    <t>service endpoint</t>
  </si>
  <si>
    <t>Endpoint URL</t>
  </si>
  <si>
    <t>1  for webAPI distribution</t>
  </si>
  <si>
    <t>“distribution”/”WebAPI”/
”potentialAction”//”target”//
”urlTemplate”</t>
  </si>
  <si>
    <t>Web location to invoke service; if there are parameters on the URL, the URL temple construct enables description of the parameters</t>
  </si>
  <si>
    <t>dcat:endpointURL</t>
  </si>
  <si>
    <t>terms of service</t>
  </si>
  <si>
    <t>Access constraints</t>
  </si>
  <si>
    <t>1   for webAPI distribution</t>
  </si>
  <si>
    <t>“distribution”/”WebAPI”/”termsOfService”:
”string” OR CreativeWork</t>
  </si>
  <si>
    <t>Description of access privileges required to use the API, e.g. registration, licensing, payments. Note that access constraints applying to any distribution of the resource should be specified in the access constraints for the resource description as a whole.</t>
  </si>
  <si>
    <t>variable unit of measure</t>
  </si>
  <si>
    <t>variableMeasured/PropertyValue / unitText  or unitCode : string or URI</t>
  </si>
  <si>
    <t>variable propertyID</t>
  </si>
  <si>
    <t xml:space="preserve">variableMeasured/PropertyValue / propertyID: string, ID reference, DefinedTerm. </t>
  </si>
  <si>
    <t>identifier for a property, ideally reference to a skos concept for the property; assigns semantics to variable (DDI-CDI conceptual variable). Not in current CDIF recommendation; suggested implementation here</t>
  </si>
  <si>
    <t>prov:wasDerivedFrom</t>
  </si>
  <si>
    <t>DCATv3</t>
  </si>
  <si>
    <t>Dataverse</t>
  </si>
  <si>
    <t>DATS</t>
  </si>
  <si>
    <t>RIF-CS</t>
  </si>
  <si>
    <t>DC and DC Term</t>
  </si>
  <si>
    <t>BioSchema</t>
  </si>
  <si>
    <t>B2FIND</t>
  </si>
  <si>
    <t>DDI</t>
  </si>
  <si>
    <t xml:space="preserve">ECRIN Clinical Research Metadata Schema </t>
  </si>
  <si>
    <t>ESIP Science On Schema.org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</si>
</sst>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0"/>
      <color rgb="FF000000"/>
      <name val="Arial"/>
      <scheme val="minor"/>
    </font>
    <font>
      <sz val="10"/>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1155CC"/>
      <name val="Arial"/>
      <family val="2"/>
    </font>
    <font>
      <b/>
      <sz val="10"/>
      <color rgb="FF24292E"/>
      <name val="Arial"/>
      <family val="2"/>
    </font>
    <font>
      <sz val="10"/>
      <color rgb="FF24292E"/>
      <name val="-apple-system"/>
    </font>
    <font>
      <sz val="10"/>
      <color rgb="FF24292E"/>
      <name val="Arial"/>
      <family val="2"/>
    </font>
    <font>
      <sz val="10"/>
      <color rgb="FF000000"/>
      <name val="Arial"/>
      <family val="2"/>
    </font>
    <font>
      <sz val="10"/>
      <color rgb="FF555555"/>
      <name val="Arial"/>
      <family val="2"/>
    </font>
    <font>
      <u/>
      <sz val="10"/>
      <color rgb="FF555555"/>
      <name val="Arial"/>
      <family val="2"/>
    </font>
    <font>
      <u/>
      <sz val="10"/>
      <color rgb="FF0000FF"/>
      <name val="Arial"/>
      <family val="2"/>
    </font>
    <font>
      <sz val="10"/>
      <color rgb="FF0000FF"/>
      <name val="Arial"/>
      <family val="2"/>
      <scheme val="minor"/>
    </font>
    <font>
      <u/>
      <sz val="10"/>
      <color rgb="FF0000FF"/>
      <name val="Arial"/>
      <family val="2"/>
    </font>
    <font>
      <sz val="10"/>
      <color rgb="FF034575"/>
      <name val="Arial"/>
      <family val="2"/>
    </font>
    <font>
      <u/>
      <sz val="10"/>
      <color rgb="FF034575"/>
      <name val="Arial"/>
      <family val="2"/>
    </font>
    <font>
      <sz val="10"/>
      <color rgb="FF000000"/>
      <name val="Arial"/>
      <family val="2"/>
    </font>
    <font>
      <u/>
      <sz val="10"/>
      <color rgb="FF24292E"/>
      <name val="Arial"/>
      <family val="2"/>
    </font>
    <font>
      <sz val="10"/>
      <color rgb="FF24292E"/>
      <name val="Arial"/>
      <family val="2"/>
    </font>
    <font>
      <b/>
      <sz val="10"/>
      <color rgb="FF034575"/>
      <name val="Sans-serif"/>
    </font>
    <font>
      <u/>
      <sz val="10"/>
      <color rgb="FF034575"/>
      <name val="Sans-serif"/>
    </font>
    <font>
      <u/>
      <sz val="10"/>
      <color rgb="FF24292E"/>
      <name val="-apple-system"/>
    </font>
    <font>
      <sz val="10"/>
      <color rgb="FF000000"/>
      <name val="-apple-system"/>
    </font>
    <font>
      <sz val="1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9">
    <xf numFmtId="0" fontId="0" fillId="0" borderId="0" xfId="0"/>
    <xf numFmtId="0" fontId="1"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center" vertical="top" wrapText="1"/>
    </xf>
    <xf numFmtId="0" fontId="3" fillId="0" borderId="0" xfId="0" applyFont="1" applyAlignment="1">
      <alignment vertical="top" wrapText="1"/>
    </xf>
    <xf numFmtId="0" fontId="1"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wrapText="1"/>
    </xf>
    <xf numFmtId="0" fontId="2" fillId="0" borderId="0" xfId="0" applyFont="1" applyAlignment="1">
      <alignmen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vertical="top" wrapText="1"/>
    </xf>
    <xf numFmtId="0" fontId="10" fillId="0" borderId="0" xfId="0" applyFont="1" applyAlignment="1">
      <alignment horizontal="center"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vertical="top" wrapText="1"/>
    </xf>
    <xf numFmtId="0" fontId="11" fillId="0" borderId="0" xfId="0" applyFont="1" applyAlignment="1">
      <alignment vertical="top"/>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horizontal="left" vertical="top" wrapText="1"/>
    </xf>
    <xf numFmtId="0" fontId="11" fillId="0" borderId="0" xfId="0" applyFont="1" applyAlignment="1">
      <alignment horizontal="left" vertical="top"/>
    </xf>
    <xf numFmtId="0" fontId="19" fillId="0" borderId="0" xfId="0" applyFont="1" applyAlignment="1">
      <alignment horizontal="left" vertical="top"/>
    </xf>
    <xf numFmtId="0" fontId="20" fillId="0" borderId="0" xfId="0" applyFont="1" applyAlignment="1">
      <alignment horizontal="left" vertical="top" wrapText="1"/>
    </xf>
    <xf numFmtId="0" fontId="11" fillId="0" borderId="0" xfId="0" applyFont="1" applyAlignment="1">
      <alignment horizontal="left" vertical="top" wrapText="1"/>
    </xf>
    <xf numFmtId="0" fontId="21" fillId="0" borderId="0" xfId="0" applyFont="1" applyAlignment="1">
      <alignment horizontal="left" vertical="top"/>
    </xf>
    <xf numFmtId="0" fontId="3" fillId="0" borderId="0" xfId="0" applyFont="1" applyAlignment="1">
      <alignment horizontal="center" vertical="top" wrapText="1"/>
    </xf>
    <xf numFmtId="0" fontId="10" fillId="0" borderId="0" xfId="0" applyFont="1" applyAlignment="1">
      <alignment vertical="top" wrapText="1"/>
    </xf>
    <xf numFmtId="0" fontId="9"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24" fillId="0" borderId="0" xfId="0" applyFont="1" applyAlignment="1">
      <alignment horizontal="left" vertical="top" wrapText="1"/>
    </xf>
    <xf numFmtId="0" fontId="25" fillId="0" borderId="0" xfId="0" applyFont="1" applyAlignment="1">
      <alignment vertical="top" wrapText="1"/>
    </xf>
    <xf numFmtId="0" fontId="25" fillId="0" borderId="0" xfId="0" applyFont="1" applyAlignment="1">
      <alignment vertical="top"/>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rosswalk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60">
  <tableColumns count="26">
    <tableColumn id="1" xr3:uid="{00000000-0010-0000-0000-000001000000}" name="Generic element"/>
    <tableColumn id="2" xr3:uid="{00000000-0010-0000-0000-000002000000}" name="CDIF content model"/>
    <tableColumn id="3" xr3:uid="{00000000-0010-0000-0000-000003000000}" name="requirement"/>
    <tableColumn id="4" xr3:uid="{00000000-0010-0000-0000-000004000000}" name="CDIF Discovery SDO implementation"/>
    <tableColumn id="5" xr3:uid="{00000000-0010-0000-0000-000005000000}" name="Description"/>
    <tableColumn id="6" xr3:uid="{00000000-0010-0000-0000-000006000000}" name="Domain Type"/>
    <tableColumn id="7" xr3:uid="{00000000-0010-0000-0000-000007000000}" name="schema:Property _x000a_"/>
    <tableColumn id="26" xr3:uid="{F2CE4B34-5785-4DC2-BBEB-00959DBDD36B}" name="ESIP Science On Schema.org"/>
    <tableColumn id="8" xr3:uid="{00000000-0010-0000-0000-000008000000}" name="FDO metadata 2.0"/>
    <tableColumn id="9" xr3:uid="{00000000-0010-0000-0000-000009000000}" name="FDO notes"/>
    <tableColumn id="10" xr3:uid="{00000000-0010-0000-0000-00000A000000}" name="OGCAPI Records Core"/>
    <tableColumn id="11" xr3:uid="{00000000-0010-0000-0000-00000B000000}" name="OGC Records Note"/>
    <tableColumn id="12" xr3:uid="{00000000-0010-0000-0000-00000C000000}" name="DCAT-AP"/>
    <tableColumn id="13" xr3:uid="{00000000-0010-0000-0000-00000D000000}" name="DCATv3"/>
    <tableColumn id="14" xr3:uid="{00000000-0010-0000-0000-00000E000000}" name="Datacite v4"/>
    <tableColumn id="15" xr3:uid="{00000000-0010-0000-0000-00000F000000}" name="ISO-19115:2003"/>
    <tableColumn id="16" xr3:uid="{00000000-0010-0000-0000-000010000000}" name="ISO19115-1"/>
    <tableColumn id="17" xr3:uid="{00000000-0010-0000-0000-000011000000}" name="EOSC/EDMI_x000a__x000a_M: Minimum_x000a_R: Recommended_x000a_O: Optional"/>
    <tableColumn id="18" xr3:uid="{00000000-0010-0000-0000-000012000000}" name="Dataverse"/>
    <tableColumn id="19" xr3:uid="{00000000-0010-0000-0000-000013000000}" name="DATS"/>
    <tableColumn id="20" xr3:uid="{00000000-0010-0000-0000-000014000000}" name="RIF-CS"/>
    <tableColumn id="21" xr3:uid="{00000000-0010-0000-0000-000015000000}" name="DC and DC Term"/>
    <tableColumn id="22" xr3:uid="{00000000-0010-0000-0000-000016000000}" name="BioSchema"/>
    <tableColumn id="23" xr3:uid="{00000000-0010-0000-0000-000017000000}" name="B2FIND"/>
    <tableColumn id="24" xr3:uid="{00000000-0010-0000-0000-000018000000}" name="DDI"/>
    <tableColumn id="25" xr3:uid="{00000000-0010-0000-0000-000019000000}" name="ECRIN Clinical Research Metadata Schema "/>
  </tableColumns>
  <tableStyleInfo name="crosswalk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ema.org/" TargetMode="External"/><Relationship Id="rId3" Type="http://schemas.openxmlformats.org/officeDocument/2006/relationships/hyperlink" Target="https://docs.google.com/spreadsheets/d/1dtHpbp5cVaooVdqhvDjLHKM5Y8IfC-iRSU6OA6BLSUg/edit" TargetMode="External"/><Relationship Id="rId7" Type="http://schemas.openxmlformats.org/officeDocument/2006/relationships/hyperlink" Target="http://www.w3.org/ns/dcat" TargetMode="External"/><Relationship Id="rId2" Type="http://schemas.openxmlformats.org/officeDocument/2006/relationships/hyperlink" Target="https://docs.google.com/spreadsheets/d/1NZl3DpmyHLBTBieNcT5iNb2gNoauOnJDdWUyyv2WUIo/edit" TargetMode="External"/><Relationship Id="rId1" Type="http://schemas.openxmlformats.org/officeDocument/2006/relationships/hyperlink" Target="https://ec-jrc.github.io/dcat-ap-to-schema-org/" TargetMode="External"/><Relationship Id="rId6" Type="http://schemas.openxmlformats.org/officeDocument/2006/relationships/hyperlink" Target="http://schema.org/" TargetMode="External"/><Relationship Id="rId11" Type="http://schemas.openxmlformats.org/officeDocument/2006/relationships/comments" Target="../comments1.xml"/><Relationship Id="rId5" Type="http://schemas.openxmlformats.org/officeDocument/2006/relationships/hyperlink" Target="http://www.w3.org/ns/dcat" TargetMode="External"/><Relationship Id="rId10" Type="http://schemas.openxmlformats.org/officeDocument/2006/relationships/table" Target="../tables/table1.xml"/><Relationship Id="rId4" Type="http://schemas.openxmlformats.org/officeDocument/2006/relationships/hyperlink" Target="https://github.com/codemeta/codemeta/blob/master/crosswalk.csv"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H1000"/>
  <sheetViews>
    <sheetView tabSelected="1" topLeftCell="W1" workbookViewId="0">
      <pane ySplit="1" topLeftCell="A2" activePane="bottomLeft" state="frozen"/>
      <selection pane="bottomLeft" activeCell="AD5" sqref="AD5"/>
    </sheetView>
  </sheetViews>
  <sheetFormatPr defaultColWidth="12.59765625" defaultRowHeight="15.75" customHeight="1"/>
  <cols>
    <col min="1" max="1" width="15.46484375" customWidth="1"/>
    <col min="2" max="2" width="14.46484375" customWidth="1"/>
    <col min="3" max="3" width="7.46484375" customWidth="1"/>
    <col min="4" max="4" width="19.59765625" customWidth="1"/>
    <col min="5" max="5" width="45.265625" customWidth="1"/>
    <col min="6" max="6" width="20.59765625" hidden="1" customWidth="1"/>
    <col min="7" max="7" width="18.46484375" hidden="1" customWidth="1"/>
    <col min="8" max="8" width="18.46484375" customWidth="1"/>
    <col min="9" max="9" width="17.73046875" customWidth="1"/>
    <col min="10" max="10" width="28.59765625" customWidth="1"/>
    <col min="11" max="11" width="17.73046875" customWidth="1"/>
    <col min="12" max="12" width="33.86328125" customWidth="1"/>
    <col min="13" max="13" width="17.73046875" customWidth="1"/>
    <col min="14" max="14" width="20.46484375" customWidth="1"/>
    <col min="15" max="15" width="17.265625" customWidth="1"/>
    <col min="16" max="16" width="16.3984375" customWidth="1"/>
    <col min="17" max="17" width="41.265625" customWidth="1"/>
    <col min="18" max="18" width="16.3984375" customWidth="1"/>
    <col min="21" max="21" width="35" customWidth="1"/>
    <col min="22" max="22" width="23.3984375" customWidth="1"/>
    <col min="25" max="27" width="12.59765625" customWidth="1"/>
    <col min="28" max="28" width="22.86328125" customWidth="1"/>
  </cols>
  <sheetData>
    <row r="1" spans="1:34" ht="39.75" customHeight="1">
      <c r="A1" s="1" t="s">
        <v>0</v>
      </c>
      <c r="B1" s="2" t="s">
        <v>1</v>
      </c>
      <c r="C1" s="3" t="s">
        <v>2</v>
      </c>
      <c r="D1" s="4" t="s">
        <v>3</v>
      </c>
      <c r="E1" s="4" t="s">
        <v>4</v>
      </c>
      <c r="F1" s="5" t="s">
        <v>5</v>
      </c>
      <c r="G1" s="5" t="s">
        <v>6</v>
      </c>
      <c r="H1" s="5" t="s">
        <v>717</v>
      </c>
      <c r="I1" s="1" t="s">
        <v>7</v>
      </c>
      <c r="J1" s="1" t="s">
        <v>8</v>
      </c>
      <c r="K1" s="1" t="s">
        <v>9</v>
      </c>
      <c r="L1" s="1" t="s">
        <v>10</v>
      </c>
      <c r="M1" s="6" t="s">
        <v>11</v>
      </c>
      <c r="N1" s="6" t="s">
        <v>708</v>
      </c>
      <c r="O1" s="6" t="s">
        <v>12</v>
      </c>
      <c r="P1" s="1" t="s">
        <v>13</v>
      </c>
      <c r="Q1" s="1" t="s">
        <v>14</v>
      </c>
      <c r="R1" s="7" t="s">
        <v>15</v>
      </c>
      <c r="S1" s="8" t="s">
        <v>709</v>
      </c>
      <c r="T1" s="6" t="s">
        <v>710</v>
      </c>
      <c r="U1" s="7" t="s">
        <v>711</v>
      </c>
      <c r="V1" s="8" t="s">
        <v>712</v>
      </c>
      <c r="W1" s="6" t="s">
        <v>713</v>
      </c>
      <c r="X1" s="6" t="s">
        <v>714</v>
      </c>
      <c r="Y1" s="6" t="s">
        <v>715</v>
      </c>
      <c r="Z1" s="6" t="s">
        <v>716</v>
      </c>
      <c r="AA1" s="7" t="s">
        <v>16</v>
      </c>
      <c r="AB1" s="9" t="str">
        <f>HYPERLINK("https://spase-group.org/data/model/index.html", "SPASE")</f>
        <v>SPASE</v>
      </c>
      <c r="AC1" s="10"/>
      <c r="AD1" s="10"/>
      <c r="AE1" s="10"/>
      <c r="AF1" s="10"/>
      <c r="AG1" s="10"/>
      <c r="AH1" s="10"/>
    </row>
    <row r="2" spans="1:34" ht="34.5" customHeight="1">
      <c r="A2" s="11" t="s">
        <v>17</v>
      </c>
      <c r="B2" s="11" t="s">
        <v>18</v>
      </c>
      <c r="C2" s="12">
        <v>1</v>
      </c>
      <c r="D2" s="13" t="s">
        <v>19</v>
      </c>
      <c r="E2" s="14" t="s">
        <v>20</v>
      </c>
      <c r="F2" s="13" t="s">
        <v>21</v>
      </c>
      <c r="G2" s="13" t="s">
        <v>22</v>
      </c>
      <c r="H2" s="13"/>
      <c r="K2" s="5" t="s">
        <v>23</v>
      </c>
      <c r="L2" s="5" t="s">
        <v>24</v>
      </c>
      <c r="M2" s="5" t="s">
        <v>25</v>
      </c>
      <c r="N2" s="5" t="s">
        <v>25</v>
      </c>
      <c r="O2" s="5" t="s">
        <v>26</v>
      </c>
      <c r="P2" s="5" t="s">
        <v>18</v>
      </c>
      <c r="Q2" s="5" t="s">
        <v>27</v>
      </c>
      <c r="R2" s="5" t="s">
        <v>28</v>
      </c>
      <c r="S2" s="5" t="s">
        <v>29</v>
      </c>
      <c r="T2" s="5" t="s">
        <v>30</v>
      </c>
      <c r="U2" s="5" t="s">
        <v>31</v>
      </c>
      <c r="V2" s="5"/>
      <c r="W2" s="5" t="s">
        <v>28</v>
      </c>
      <c r="X2" s="5" t="s">
        <v>26</v>
      </c>
      <c r="Y2" s="5" t="s">
        <v>32</v>
      </c>
      <c r="Z2" s="5" t="s">
        <v>33</v>
      </c>
      <c r="AA2" s="5" t="s">
        <v>22</v>
      </c>
      <c r="AB2" s="15" t="s">
        <v>34</v>
      </c>
      <c r="AC2" s="10"/>
      <c r="AD2" s="10"/>
      <c r="AE2" s="10"/>
      <c r="AF2" s="10"/>
      <c r="AG2" s="10"/>
      <c r="AH2" s="10"/>
    </row>
    <row r="3" spans="1:34" ht="33" customHeight="1">
      <c r="A3" s="11" t="s">
        <v>35</v>
      </c>
      <c r="B3" s="11" t="s">
        <v>36</v>
      </c>
      <c r="C3" s="12">
        <v>1</v>
      </c>
      <c r="D3" s="13" t="s">
        <v>37</v>
      </c>
      <c r="E3" s="14" t="s">
        <v>38</v>
      </c>
      <c r="F3" s="13" t="s">
        <v>21</v>
      </c>
      <c r="G3" s="14" t="s">
        <v>39</v>
      </c>
      <c r="H3" s="14"/>
      <c r="I3" s="5"/>
      <c r="J3" s="5"/>
      <c r="K3" s="5" t="s">
        <v>40</v>
      </c>
      <c r="L3" s="5" t="s">
        <v>41</v>
      </c>
      <c r="M3" s="5" t="s">
        <v>42</v>
      </c>
      <c r="N3" s="5" t="s">
        <v>43</v>
      </c>
      <c r="O3" s="5" t="s">
        <v>44</v>
      </c>
      <c r="P3" s="5" t="s">
        <v>45</v>
      </c>
      <c r="Q3" s="5" t="s">
        <v>46</v>
      </c>
      <c r="R3" s="5" t="s">
        <v>47</v>
      </c>
      <c r="S3" s="5" t="s">
        <v>44</v>
      </c>
      <c r="T3" s="5" t="s">
        <v>48</v>
      </c>
      <c r="U3" s="5" t="s">
        <v>49</v>
      </c>
      <c r="V3" s="5" t="s">
        <v>50</v>
      </c>
      <c r="W3" s="5" t="s">
        <v>47</v>
      </c>
      <c r="X3" s="5" t="s">
        <v>44</v>
      </c>
      <c r="Y3" s="5" t="s">
        <v>51</v>
      </c>
      <c r="Z3" s="5" t="s">
        <v>52</v>
      </c>
      <c r="AA3" s="5" t="s">
        <v>53</v>
      </c>
      <c r="AB3" s="15" t="s">
        <v>54</v>
      </c>
      <c r="AC3" s="10"/>
      <c r="AD3" s="10"/>
      <c r="AE3" s="10"/>
      <c r="AF3" s="10"/>
      <c r="AG3" s="10"/>
      <c r="AH3" s="10"/>
    </row>
    <row r="4" spans="1:34" ht="31.5" customHeight="1">
      <c r="A4" s="14" t="s">
        <v>4</v>
      </c>
      <c r="B4" s="14" t="s">
        <v>4</v>
      </c>
      <c r="C4" s="16" t="s">
        <v>55</v>
      </c>
      <c r="D4" s="13" t="s">
        <v>56</v>
      </c>
      <c r="E4" s="14" t="s">
        <v>57</v>
      </c>
      <c r="F4" s="13" t="s">
        <v>21</v>
      </c>
      <c r="G4" s="14" t="s">
        <v>58</v>
      </c>
      <c r="H4" s="14"/>
      <c r="I4" s="5"/>
      <c r="J4" s="5"/>
      <c r="K4" s="5" t="s">
        <v>59</v>
      </c>
      <c r="L4" s="5" t="s">
        <v>60</v>
      </c>
      <c r="M4" s="5" t="s">
        <v>61</v>
      </c>
      <c r="N4" s="5" t="s">
        <v>62</v>
      </c>
      <c r="O4" s="5" t="s">
        <v>63</v>
      </c>
      <c r="P4" s="5" t="s">
        <v>64</v>
      </c>
      <c r="Q4" s="5" t="s">
        <v>65</v>
      </c>
      <c r="R4" s="5" t="s">
        <v>66</v>
      </c>
      <c r="S4" s="5" t="s">
        <v>67</v>
      </c>
      <c r="T4" s="5" t="s">
        <v>58</v>
      </c>
      <c r="U4" s="5" t="s">
        <v>68</v>
      </c>
      <c r="V4" s="5" t="s">
        <v>69</v>
      </c>
      <c r="W4" s="5" t="s">
        <v>66</v>
      </c>
      <c r="X4" s="5" t="s">
        <v>70</v>
      </c>
      <c r="Y4" s="5" t="s">
        <v>71</v>
      </c>
      <c r="Z4" s="5" t="s">
        <v>70</v>
      </c>
      <c r="AA4" s="5" t="s">
        <v>59</v>
      </c>
      <c r="AB4" s="15" t="s">
        <v>72</v>
      </c>
      <c r="AC4" s="10"/>
      <c r="AD4" s="10"/>
      <c r="AE4" s="10"/>
      <c r="AF4" s="10"/>
      <c r="AG4" s="10"/>
      <c r="AH4" s="10"/>
    </row>
    <row r="5" spans="1:34" ht="51">
      <c r="A5" s="14" t="s">
        <v>73</v>
      </c>
      <c r="B5" s="14"/>
      <c r="C5" s="16"/>
      <c r="D5" s="14" t="s">
        <v>74</v>
      </c>
      <c r="E5" s="14" t="s">
        <v>75</v>
      </c>
      <c r="F5" s="14" t="s">
        <v>76</v>
      </c>
      <c r="G5" s="14" t="s">
        <v>77</v>
      </c>
      <c r="H5" s="14"/>
      <c r="I5" s="5" t="s">
        <v>78</v>
      </c>
      <c r="J5" s="5"/>
      <c r="K5" s="5"/>
      <c r="L5" s="5"/>
      <c r="M5" s="5" t="s">
        <v>79</v>
      </c>
      <c r="N5" s="5" t="s">
        <v>80</v>
      </c>
      <c r="O5" s="5" t="s">
        <v>81</v>
      </c>
      <c r="P5" s="13"/>
      <c r="Q5" s="14" t="s">
        <v>82</v>
      </c>
      <c r="R5" s="14" t="s">
        <v>83</v>
      </c>
      <c r="S5" s="14" t="s">
        <v>84</v>
      </c>
      <c r="T5" s="5"/>
      <c r="U5" s="5" t="s">
        <v>85</v>
      </c>
      <c r="V5" s="5" t="s">
        <v>80</v>
      </c>
      <c r="W5" s="5" t="s">
        <v>77</v>
      </c>
      <c r="X5" s="5"/>
      <c r="Y5" s="5" t="s">
        <v>86</v>
      </c>
      <c r="Z5" s="5" t="s">
        <v>87</v>
      </c>
      <c r="AA5" s="14" t="s">
        <v>88</v>
      </c>
      <c r="AB5" s="5"/>
      <c r="AC5" s="10"/>
      <c r="AD5" s="10"/>
      <c r="AE5" s="10"/>
      <c r="AF5" s="10"/>
      <c r="AG5" s="10"/>
      <c r="AH5" s="10"/>
    </row>
    <row r="6" spans="1:34" ht="39.75" customHeight="1">
      <c r="A6" s="11" t="s">
        <v>89</v>
      </c>
      <c r="B6" s="11" t="s">
        <v>90</v>
      </c>
      <c r="C6" s="12">
        <v>1</v>
      </c>
      <c r="D6" s="14" t="s">
        <v>91</v>
      </c>
      <c r="E6" s="14" t="s">
        <v>92</v>
      </c>
      <c r="F6" s="14" t="s">
        <v>76</v>
      </c>
      <c r="G6" s="14" t="s">
        <v>93</v>
      </c>
      <c r="H6" s="14"/>
      <c r="I6" s="5" t="s">
        <v>94</v>
      </c>
      <c r="J6" s="5" t="s">
        <v>95</v>
      </c>
      <c r="K6" s="5"/>
      <c r="L6" s="5"/>
      <c r="M6" s="5" t="s">
        <v>96</v>
      </c>
      <c r="N6" s="5" t="s">
        <v>97</v>
      </c>
      <c r="O6" s="5" t="s">
        <v>98</v>
      </c>
      <c r="P6" s="14" t="s">
        <v>99</v>
      </c>
      <c r="Q6" s="14" t="s">
        <v>100</v>
      </c>
      <c r="R6" s="13" t="s">
        <v>101</v>
      </c>
      <c r="S6" s="14" t="s">
        <v>102</v>
      </c>
      <c r="T6" s="5"/>
      <c r="U6" s="5"/>
      <c r="V6" s="5" t="s">
        <v>97</v>
      </c>
      <c r="W6" s="5" t="s">
        <v>93</v>
      </c>
      <c r="X6" s="5"/>
      <c r="Y6" s="5" t="s">
        <v>103</v>
      </c>
      <c r="Z6" s="5" t="s">
        <v>87</v>
      </c>
      <c r="AA6" s="14" t="s">
        <v>93</v>
      </c>
      <c r="AB6" s="5" t="s">
        <v>104</v>
      </c>
      <c r="AC6" s="10"/>
      <c r="AD6" s="10"/>
      <c r="AE6" s="10"/>
      <c r="AF6" s="10"/>
      <c r="AG6" s="10"/>
      <c r="AH6" s="10"/>
    </row>
    <row r="7" spans="1:34" ht="47.25" customHeight="1">
      <c r="A7" s="14" t="s">
        <v>105</v>
      </c>
      <c r="B7" s="14" t="s">
        <v>106</v>
      </c>
      <c r="C7" s="16" t="s">
        <v>55</v>
      </c>
      <c r="D7" s="13" t="s">
        <v>107</v>
      </c>
      <c r="E7" s="14" t="s">
        <v>108</v>
      </c>
      <c r="F7" s="13" t="s">
        <v>109</v>
      </c>
      <c r="G7" s="14" t="s">
        <v>110</v>
      </c>
      <c r="H7" s="14"/>
      <c r="I7" s="17"/>
      <c r="J7" s="17"/>
      <c r="K7" s="17"/>
      <c r="L7" s="17"/>
      <c r="M7" s="17" t="s">
        <v>111</v>
      </c>
      <c r="N7" s="18" t="str">
        <f>HYPERLINK("http://purl.org/dc/terms/dateAccepted","dcterms:dateAccepted")</f>
        <v>dcterms:dateAccepted</v>
      </c>
      <c r="O7" s="5" t="s">
        <v>112</v>
      </c>
      <c r="P7" s="14" t="s">
        <v>113</v>
      </c>
      <c r="Q7" s="14" t="s">
        <v>114</v>
      </c>
      <c r="R7" s="13" t="s">
        <v>115</v>
      </c>
      <c r="S7" s="14" t="s">
        <v>106</v>
      </c>
      <c r="T7" s="5"/>
      <c r="U7" s="5" t="s">
        <v>116</v>
      </c>
      <c r="V7" s="19" t="str">
        <f>HYPERLINK("http://purl.org/dc/terms/dateAccepted","dcterms:dateAccepted")</f>
        <v>dcterms:dateAccepted</v>
      </c>
      <c r="W7" s="5"/>
      <c r="X7" s="5" t="s">
        <v>117</v>
      </c>
      <c r="Y7" s="5" t="s">
        <v>118</v>
      </c>
      <c r="Z7" s="5" t="s">
        <v>119</v>
      </c>
      <c r="AA7" s="14" t="s">
        <v>110</v>
      </c>
      <c r="AB7" s="15" t="s">
        <v>120</v>
      </c>
      <c r="AC7" s="10"/>
      <c r="AD7" s="10"/>
      <c r="AE7" s="10"/>
      <c r="AF7" s="10"/>
      <c r="AG7" s="10"/>
      <c r="AH7" s="10"/>
    </row>
    <row r="8" spans="1:34" ht="63.75">
      <c r="A8" s="11" t="s">
        <v>121</v>
      </c>
      <c r="B8" s="11" t="s">
        <v>122</v>
      </c>
      <c r="C8" s="12" t="s">
        <v>55</v>
      </c>
      <c r="D8" s="14" t="s">
        <v>123</v>
      </c>
      <c r="E8" s="14" t="s">
        <v>124</v>
      </c>
      <c r="F8" s="14" t="s">
        <v>76</v>
      </c>
      <c r="G8" s="13" t="s">
        <v>121</v>
      </c>
      <c r="H8" s="13"/>
      <c r="I8" s="5" t="s">
        <v>125</v>
      </c>
      <c r="J8" s="5" t="s">
        <v>126</v>
      </c>
      <c r="K8" s="5"/>
      <c r="L8" s="5"/>
      <c r="M8" s="5" t="s">
        <v>127</v>
      </c>
      <c r="N8" s="5" t="s">
        <v>128</v>
      </c>
      <c r="O8" s="5" t="s">
        <v>129</v>
      </c>
      <c r="P8" s="13"/>
      <c r="Q8" s="14" t="s">
        <v>130</v>
      </c>
      <c r="R8" s="13" t="s">
        <v>131</v>
      </c>
      <c r="S8" s="14" t="s">
        <v>122</v>
      </c>
      <c r="T8" s="5" t="s">
        <v>132</v>
      </c>
      <c r="U8" s="5" t="s">
        <v>133</v>
      </c>
      <c r="V8" s="5"/>
      <c r="W8" s="5" t="s">
        <v>132</v>
      </c>
      <c r="X8" s="5"/>
      <c r="Y8" s="5" t="s">
        <v>121</v>
      </c>
      <c r="Z8" s="5" t="s">
        <v>134</v>
      </c>
      <c r="AA8" s="14" t="s">
        <v>121</v>
      </c>
      <c r="AB8" s="20" t="s">
        <v>135</v>
      </c>
      <c r="AC8" s="10"/>
      <c r="AD8" s="10"/>
      <c r="AE8" s="10"/>
      <c r="AF8" s="10"/>
      <c r="AG8" s="10"/>
      <c r="AH8" s="10"/>
    </row>
    <row r="9" spans="1:34" ht="68.25" customHeight="1">
      <c r="A9" s="11" t="s">
        <v>136</v>
      </c>
      <c r="B9" s="11" t="s">
        <v>136</v>
      </c>
      <c r="C9" s="12">
        <v>1</v>
      </c>
      <c r="D9" s="13" t="s">
        <v>137</v>
      </c>
      <c r="E9" s="14" t="s">
        <v>138</v>
      </c>
      <c r="F9" s="13"/>
      <c r="G9" s="14" t="s">
        <v>139</v>
      </c>
      <c r="H9" s="14"/>
      <c r="I9" s="14" t="s">
        <v>140</v>
      </c>
      <c r="J9" s="14" t="s">
        <v>141</v>
      </c>
      <c r="K9" s="5" t="s">
        <v>142</v>
      </c>
      <c r="L9" s="5" t="s">
        <v>143</v>
      </c>
      <c r="M9" s="5"/>
      <c r="N9" s="5"/>
      <c r="O9" s="5"/>
      <c r="P9" s="5"/>
      <c r="Q9" s="5"/>
      <c r="R9" s="5"/>
      <c r="S9" s="5"/>
      <c r="T9" s="5"/>
      <c r="U9" s="21"/>
      <c r="V9" s="5"/>
      <c r="W9" s="5"/>
      <c r="X9" s="5"/>
      <c r="Y9" s="5"/>
      <c r="Z9" s="5"/>
      <c r="AA9" s="5"/>
      <c r="AB9" s="15"/>
      <c r="AC9" s="10"/>
      <c r="AD9" s="10"/>
      <c r="AE9" s="10"/>
      <c r="AF9" s="10"/>
      <c r="AG9" s="10"/>
      <c r="AH9" s="10"/>
    </row>
    <row r="10" spans="1:34" ht="37.5" customHeight="1">
      <c r="A10" s="14" t="s">
        <v>136</v>
      </c>
      <c r="B10" s="14" t="s">
        <v>136</v>
      </c>
      <c r="C10" s="16" t="s">
        <v>144</v>
      </c>
      <c r="D10" s="14" t="s">
        <v>145</v>
      </c>
      <c r="E10" s="14" t="s">
        <v>146</v>
      </c>
      <c r="F10" s="14" t="s">
        <v>147</v>
      </c>
      <c r="G10" s="14"/>
      <c r="H10" s="14"/>
      <c r="I10" s="5"/>
      <c r="J10" s="5"/>
      <c r="K10" s="5"/>
      <c r="L10" s="5"/>
      <c r="M10" s="5"/>
      <c r="N10" s="5"/>
      <c r="O10" s="5"/>
      <c r="P10" s="13"/>
      <c r="Q10" s="14"/>
      <c r="R10" s="14"/>
      <c r="S10" s="14"/>
      <c r="T10" s="5"/>
      <c r="U10" s="5"/>
      <c r="V10" s="5"/>
      <c r="W10" s="5"/>
      <c r="X10" s="5"/>
      <c r="Y10" s="5"/>
      <c r="Z10" s="5"/>
      <c r="AA10" s="14"/>
      <c r="AB10" s="15"/>
      <c r="AC10" s="10"/>
      <c r="AD10" s="10"/>
      <c r="AE10" s="10"/>
      <c r="AF10" s="10"/>
      <c r="AG10" s="10"/>
      <c r="AH10" s="10"/>
    </row>
    <row r="11" spans="1:34" ht="58.5" customHeight="1">
      <c r="A11" s="14" t="s">
        <v>148</v>
      </c>
      <c r="B11" s="14" t="s">
        <v>149</v>
      </c>
      <c r="C11" s="16" t="s">
        <v>144</v>
      </c>
      <c r="D11" s="14" t="s">
        <v>150</v>
      </c>
      <c r="E11" s="14" t="s">
        <v>151</v>
      </c>
      <c r="F11" s="14" t="s">
        <v>76</v>
      </c>
      <c r="G11" s="14" t="s">
        <v>152</v>
      </c>
      <c r="H11" s="14"/>
      <c r="I11" s="5" t="s">
        <v>153</v>
      </c>
      <c r="J11" s="5" t="s">
        <v>154</v>
      </c>
      <c r="K11" s="5"/>
      <c r="L11" s="5"/>
      <c r="M11" s="5" t="s">
        <v>155</v>
      </c>
      <c r="N11" s="5" t="s">
        <v>155</v>
      </c>
      <c r="O11" s="5" t="s">
        <v>156</v>
      </c>
      <c r="P11" s="13"/>
      <c r="Q11" s="14" t="s">
        <v>157</v>
      </c>
      <c r="R11" s="14" t="s">
        <v>158</v>
      </c>
      <c r="S11" s="14" t="s">
        <v>159</v>
      </c>
      <c r="T11" s="5" t="s">
        <v>158</v>
      </c>
      <c r="U11" s="5" t="s">
        <v>160</v>
      </c>
      <c r="V11" s="5" t="s">
        <v>161</v>
      </c>
      <c r="W11" s="5" t="s">
        <v>162</v>
      </c>
      <c r="X11" s="5" t="s">
        <v>163</v>
      </c>
      <c r="Y11" s="5" t="s">
        <v>164</v>
      </c>
      <c r="Z11" s="5" t="s">
        <v>165</v>
      </c>
      <c r="AA11" s="14" t="s">
        <v>166</v>
      </c>
      <c r="AB11" s="15" t="s">
        <v>167</v>
      </c>
      <c r="AC11" s="10"/>
      <c r="AD11" s="10"/>
      <c r="AE11" s="10"/>
      <c r="AF11" s="10"/>
      <c r="AG11" s="10"/>
      <c r="AH11" s="10"/>
    </row>
    <row r="12" spans="1:34" ht="42.75" customHeight="1">
      <c r="A12" s="14" t="s">
        <v>168</v>
      </c>
      <c r="B12" s="14" t="s">
        <v>169</v>
      </c>
      <c r="C12" s="16" t="s">
        <v>144</v>
      </c>
      <c r="D12" s="14" t="s">
        <v>170</v>
      </c>
      <c r="E12" s="14" t="s">
        <v>171</v>
      </c>
      <c r="F12" s="14" t="s">
        <v>76</v>
      </c>
      <c r="G12" s="14" t="s">
        <v>172</v>
      </c>
      <c r="H12" s="14"/>
      <c r="I12" s="5"/>
      <c r="J12" s="5"/>
      <c r="K12" s="5"/>
      <c r="L12" s="5"/>
      <c r="M12" s="22" t="str">
        <f t="shared" ref="M12:N12" si="0">HYPERLINK("http://purl.org/dc/terms/contributor","dcterms:contributor")</f>
        <v>dcterms:contributor</v>
      </c>
      <c r="N12" s="22" t="str">
        <f t="shared" si="0"/>
        <v>dcterms:contributor</v>
      </c>
      <c r="O12" s="5" t="s">
        <v>173</v>
      </c>
      <c r="P12" s="13"/>
      <c r="Q12" s="14" t="s">
        <v>174</v>
      </c>
      <c r="R12" s="13"/>
      <c r="S12" s="14" t="s">
        <v>175</v>
      </c>
      <c r="T12" s="5"/>
      <c r="U12" s="5"/>
      <c r="V12" s="5" t="s">
        <v>176</v>
      </c>
      <c r="W12" s="5"/>
      <c r="X12" s="5" t="s">
        <v>177</v>
      </c>
      <c r="Y12" s="5" t="s">
        <v>172</v>
      </c>
      <c r="Z12" s="5" t="s">
        <v>178</v>
      </c>
      <c r="AA12" s="14" t="s">
        <v>175</v>
      </c>
      <c r="AB12" s="15" t="s">
        <v>179</v>
      </c>
      <c r="AC12" s="10"/>
      <c r="AD12" s="10"/>
      <c r="AE12" s="10"/>
      <c r="AF12" s="10"/>
      <c r="AG12" s="10"/>
      <c r="AH12" s="10"/>
    </row>
    <row r="13" spans="1:34" ht="63.75">
      <c r="A13" s="14" t="s">
        <v>180</v>
      </c>
      <c r="B13" s="14" t="s">
        <v>181</v>
      </c>
      <c r="C13" s="16" t="s">
        <v>144</v>
      </c>
      <c r="D13" s="14" t="s">
        <v>182</v>
      </c>
      <c r="E13" s="14" t="s">
        <v>183</v>
      </c>
      <c r="F13" s="14" t="s">
        <v>76</v>
      </c>
      <c r="G13" s="13" t="s">
        <v>184</v>
      </c>
      <c r="H13" s="13"/>
      <c r="I13" s="23"/>
      <c r="J13" s="23"/>
      <c r="K13" s="23" t="s">
        <v>184</v>
      </c>
      <c r="L13" s="23" t="s">
        <v>185</v>
      </c>
      <c r="M13" s="23" t="s">
        <v>186</v>
      </c>
      <c r="N13" s="24" t="s">
        <v>187</v>
      </c>
      <c r="O13" s="5" t="s">
        <v>188</v>
      </c>
      <c r="P13" s="14" t="s">
        <v>189</v>
      </c>
      <c r="Q13" s="14" t="s">
        <v>190</v>
      </c>
      <c r="R13" s="14" t="s">
        <v>191</v>
      </c>
      <c r="S13" s="14" t="s">
        <v>192</v>
      </c>
      <c r="T13" s="5" t="s">
        <v>193</v>
      </c>
      <c r="U13" s="5" t="s">
        <v>194</v>
      </c>
      <c r="V13" s="5" t="s">
        <v>195</v>
      </c>
      <c r="W13" s="5" t="s">
        <v>196</v>
      </c>
      <c r="X13" s="5"/>
      <c r="Y13" s="5" t="s">
        <v>184</v>
      </c>
      <c r="Z13" s="5"/>
      <c r="AA13" s="14" t="s">
        <v>184</v>
      </c>
      <c r="AB13" s="5" t="s">
        <v>180</v>
      </c>
      <c r="AC13" s="10"/>
      <c r="AD13" s="10"/>
      <c r="AE13" s="10"/>
      <c r="AF13" s="10"/>
      <c r="AG13" s="10"/>
      <c r="AH13" s="10"/>
    </row>
    <row r="14" spans="1:34" ht="39" customHeight="1">
      <c r="A14" s="14" t="s">
        <v>197</v>
      </c>
      <c r="B14" s="14" t="s">
        <v>181</v>
      </c>
      <c r="C14" s="16" t="s">
        <v>144</v>
      </c>
      <c r="D14" s="14" t="s">
        <v>182</v>
      </c>
      <c r="E14" s="25" t="s">
        <v>198</v>
      </c>
      <c r="F14" s="14"/>
      <c r="G14" s="14"/>
      <c r="H14" s="14"/>
      <c r="I14" s="5" t="s">
        <v>199</v>
      </c>
      <c r="J14" s="5" t="s">
        <v>200</v>
      </c>
      <c r="K14" s="5"/>
      <c r="L14" s="5"/>
      <c r="M14" s="26" t="s">
        <v>201</v>
      </c>
      <c r="N14" s="5" t="s">
        <v>202</v>
      </c>
      <c r="O14" s="2"/>
      <c r="P14" s="2"/>
      <c r="Q14" s="14"/>
      <c r="R14" s="13"/>
      <c r="S14" s="14"/>
      <c r="T14" s="5"/>
      <c r="U14" s="26"/>
      <c r="V14" s="5"/>
      <c r="W14" s="5"/>
      <c r="X14" s="5"/>
      <c r="Y14" s="5"/>
      <c r="Z14" s="5"/>
      <c r="AA14" s="13"/>
      <c r="AB14" s="5"/>
      <c r="AC14" s="10"/>
      <c r="AD14" s="10"/>
      <c r="AE14" s="10"/>
      <c r="AF14" s="10"/>
      <c r="AG14" s="10"/>
      <c r="AH14" s="10"/>
    </row>
    <row r="15" spans="1:34" ht="46.5" customHeight="1">
      <c r="A15" s="14" t="s">
        <v>203</v>
      </c>
      <c r="B15" s="14" t="s">
        <v>204</v>
      </c>
      <c r="C15" s="16" t="s">
        <v>144</v>
      </c>
      <c r="D15" s="14" t="s">
        <v>205</v>
      </c>
      <c r="E15" s="14"/>
      <c r="F15" s="14"/>
      <c r="G15" s="14"/>
      <c r="H15" s="14"/>
      <c r="I15" s="5"/>
      <c r="J15" s="5"/>
      <c r="K15" s="5" t="s">
        <v>206</v>
      </c>
      <c r="L15" s="5" t="s">
        <v>207</v>
      </c>
      <c r="O15" s="5" t="s">
        <v>208</v>
      </c>
      <c r="P15" s="14" t="s">
        <v>209</v>
      </c>
      <c r="Q15" s="14" t="s">
        <v>210</v>
      </c>
      <c r="R15" s="14"/>
      <c r="S15" s="14"/>
      <c r="T15" s="5"/>
      <c r="U15" s="5"/>
      <c r="V15" s="5"/>
      <c r="W15" s="5"/>
      <c r="X15" s="5"/>
      <c r="Y15" s="5"/>
      <c r="Z15" s="5"/>
      <c r="AA15" s="14"/>
      <c r="AB15" s="15"/>
      <c r="AC15" s="10"/>
      <c r="AD15" s="10"/>
      <c r="AE15" s="10"/>
      <c r="AF15" s="10"/>
      <c r="AG15" s="10"/>
      <c r="AH15" s="10"/>
    </row>
    <row r="16" spans="1:34" ht="51.75" customHeight="1">
      <c r="A16" s="14" t="s">
        <v>211</v>
      </c>
      <c r="B16" s="14" t="s">
        <v>211</v>
      </c>
      <c r="C16" s="16" t="s">
        <v>212</v>
      </c>
      <c r="D16" s="5" t="s">
        <v>213</v>
      </c>
      <c r="E16" s="5" t="s">
        <v>214</v>
      </c>
      <c r="F16" s="5" t="s">
        <v>76</v>
      </c>
      <c r="G16" s="5" t="s">
        <v>215</v>
      </c>
      <c r="H16" s="5"/>
      <c r="I16" s="5"/>
      <c r="J16" s="5"/>
      <c r="K16" s="5" t="s">
        <v>216</v>
      </c>
      <c r="L16" s="5" t="s">
        <v>217</v>
      </c>
      <c r="M16" s="5" t="s">
        <v>218</v>
      </c>
      <c r="N16" s="5" t="s">
        <v>218</v>
      </c>
      <c r="O16" s="5" t="s">
        <v>219</v>
      </c>
      <c r="P16" s="5" t="s">
        <v>220</v>
      </c>
      <c r="Q16" s="5" t="s">
        <v>221</v>
      </c>
      <c r="R16" s="5" t="s">
        <v>222</v>
      </c>
      <c r="S16" s="5"/>
      <c r="T16" s="5"/>
      <c r="U16" s="5" t="s">
        <v>223</v>
      </c>
      <c r="V16" s="5" t="s">
        <v>224</v>
      </c>
      <c r="W16" s="5"/>
      <c r="X16" s="5" t="s">
        <v>225</v>
      </c>
      <c r="Y16" s="5" t="s">
        <v>226</v>
      </c>
      <c r="Z16" s="5"/>
      <c r="AA16" s="5"/>
      <c r="AB16" s="15" t="s">
        <v>227</v>
      </c>
      <c r="AC16" s="10"/>
      <c r="AD16" s="10"/>
      <c r="AE16" s="10"/>
      <c r="AF16" s="10"/>
      <c r="AG16" s="10"/>
      <c r="AH16" s="10"/>
    </row>
    <row r="17" spans="1:34" ht="90.75" customHeight="1">
      <c r="A17" s="14" t="s">
        <v>228</v>
      </c>
      <c r="B17" s="14" t="s">
        <v>228</v>
      </c>
      <c r="C17" s="16" t="s">
        <v>144</v>
      </c>
      <c r="D17" s="5" t="s">
        <v>229</v>
      </c>
      <c r="E17" s="5" t="s">
        <v>230</v>
      </c>
      <c r="F17" s="5" t="s">
        <v>76</v>
      </c>
      <c r="G17" s="5" t="s">
        <v>231</v>
      </c>
      <c r="H17" s="5"/>
      <c r="I17" s="5"/>
      <c r="J17" s="5"/>
      <c r="K17" s="5" t="s">
        <v>232</v>
      </c>
      <c r="L17" s="5" t="s">
        <v>233</v>
      </c>
      <c r="M17" s="5" t="s">
        <v>234</v>
      </c>
      <c r="N17" s="5" t="s">
        <v>234</v>
      </c>
      <c r="O17" s="5"/>
      <c r="P17" s="5" t="s">
        <v>235</v>
      </c>
      <c r="Q17" s="5" t="s">
        <v>236</v>
      </c>
      <c r="R17" s="5" t="s">
        <v>237</v>
      </c>
      <c r="S17" s="5" t="s">
        <v>238</v>
      </c>
      <c r="T17" s="5"/>
      <c r="U17" s="5" t="s">
        <v>239</v>
      </c>
      <c r="V17" s="5" t="s">
        <v>240</v>
      </c>
      <c r="W17" s="5"/>
      <c r="X17" s="5" t="s">
        <v>241</v>
      </c>
      <c r="Y17" s="5" t="s">
        <v>242</v>
      </c>
      <c r="Z17" s="5"/>
      <c r="AA17" s="5"/>
      <c r="AB17" s="15" t="s">
        <v>243</v>
      </c>
      <c r="AC17" s="10"/>
      <c r="AD17" s="10"/>
      <c r="AE17" s="10"/>
      <c r="AF17" s="10"/>
      <c r="AG17" s="10"/>
      <c r="AH17" s="10"/>
    </row>
    <row r="18" spans="1:34" ht="42" customHeight="1">
      <c r="A18" s="11" t="s">
        <v>244</v>
      </c>
      <c r="B18" s="11" t="s">
        <v>244</v>
      </c>
      <c r="C18" s="16" t="s">
        <v>245</v>
      </c>
      <c r="D18" s="14" t="s">
        <v>246</v>
      </c>
      <c r="E18" s="14" t="s">
        <v>247</v>
      </c>
      <c r="F18" s="14" t="s">
        <v>76</v>
      </c>
      <c r="G18" s="13" t="s">
        <v>248</v>
      </c>
      <c r="H18" s="13"/>
      <c r="I18" s="5" t="s">
        <v>249</v>
      </c>
      <c r="J18" s="5" t="s">
        <v>250</v>
      </c>
      <c r="K18" s="23" t="s">
        <v>248</v>
      </c>
      <c r="L18" s="23" t="s">
        <v>251</v>
      </c>
      <c r="M18" s="23" t="s">
        <v>252</v>
      </c>
      <c r="N18" s="23" t="s">
        <v>252</v>
      </c>
      <c r="O18" s="5" t="s">
        <v>244</v>
      </c>
      <c r="P18" s="14" t="s">
        <v>253</v>
      </c>
      <c r="Q18" s="14" t="s">
        <v>254</v>
      </c>
      <c r="R18" s="14" t="s">
        <v>255</v>
      </c>
      <c r="S18" s="13"/>
      <c r="T18" s="5" t="s">
        <v>256</v>
      </c>
      <c r="U18" s="5" t="s">
        <v>257</v>
      </c>
      <c r="V18" s="5" t="s">
        <v>244</v>
      </c>
      <c r="W18" s="5" t="s">
        <v>255</v>
      </c>
      <c r="X18" s="5" t="s">
        <v>258</v>
      </c>
      <c r="Y18" s="5" t="s">
        <v>259</v>
      </c>
      <c r="Z18" s="5" t="s">
        <v>258</v>
      </c>
      <c r="AA18" s="14" t="s">
        <v>248</v>
      </c>
      <c r="AB18" s="5"/>
      <c r="AC18" s="10"/>
      <c r="AD18" s="10"/>
      <c r="AE18" s="10"/>
      <c r="AF18" s="10"/>
      <c r="AG18" s="10"/>
      <c r="AH18" s="10"/>
    </row>
    <row r="19" spans="1:34" ht="45.75" customHeight="1">
      <c r="A19" s="14" t="s">
        <v>244</v>
      </c>
      <c r="B19" s="2" t="s">
        <v>244</v>
      </c>
      <c r="C19" s="16" t="s">
        <v>245</v>
      </c>
      <c r="D19" s="13" t="s">
        <v>260</v>
      </c>
      <c r="E19" s="14" t="s">
        <v>261</v>
      </c>
      <c r="F19" s="13"/>
      <c r="G19" s="14" t="s">
        <v>262</v>
      </c>
      <c r="H19" s="14"/>
      <c r="I19" s="27"/>
      <c r="J19" s="27"/>
      <c r="K19" s="27"/>
      <c r="L19" s="27"/>
      <c r="M19" s="27" t="s">
        <v>263</v>
      </c>
      <c r="N19" s="5" t="s">
        <v>264</v>
      </c>
      <c r="O19" s="5"/>
      <c r="P19" s="13"/>
      <c r="Q19" s="14" t="s">
        <v>265</v>
      </c>
      <c r="R19" s="13"/>
      <c r="S19" s="14"/>
      <c r="T19" s="5"/>
      <c r="U19" s="5"/>
      <c r="V19" s="5" t="s">
        <v>266</v>
      </c>
      <c r="W19" s="5"/>
      <c r="X19" s="5"/>
      <c r="Y19" s="5" t="s">
        <v>267</v>
      </c>
      <c r="Z19" s="5"/>
      <c r="AA19" s="13"/>
      <c r="AB19" s="5" t="s">
        <v>268</v>
      </c>
      <c r="AC19" s="10"/>
      <c r="AD19" s="10"/>
      <c r="AE19" s="10"/>
      <c r="AF19" s="10"/>
      <c r="AG19" s="10"/>
      <c r="AH19" s="10"/>
    </row>
    <row r="20" spans="1:34" ht="48.75" customHeight="1">
      <c r="A20" s="14" t="s">
        <v>244</v>
      </c>
      <c r="B20" s="14" t="s">
        <v>244</v>
      </c>
      <c r="C20" s="14" t="s">
        <v>55</v>
      </c>
      <c r="D20" s="13"/>
      <c r="E20" s="14" t="s">
        <v>269</v>
      </c>
      <c r="F20" s="13"/>
      <c r="G20" s="13"/>
      <c r="H20" s="13"/>
      <c r="I20" s="27"/>
      <c r="J20" s="27"/>
      <c r="K20" s="27" t="s">
        <v>259</v>
      </c>
      <c r="L20" s="25" t="s">
        <v>270</v>
      </c>
      <c r="M20" s="27" t="s">
        <v>271</v>
      </c>
      <c r="N20" s="27" t="s">
        <v>272</v>
      </c>
      <c r="O20" s="5" t="s">
        <v>273</v>
      </c>
      <c r="P20" s="13"/>
      <c r="Q20" s="14" t="s">
        <v>265</v>
      </c>
      <c r="R20" s="13"/>
      <c r="S20" s="14"/>
      <c r="T20" s="5"/>
      <c r="U20" s="21" t="s">
        <v>274</v>
      </c>
      <c r="V20" s="5" t="s">
        <v>259</v>
      </c>
      <c r="W20" s="5"/>
      <c r="X20" s="5"/>
      <c r="Y20" s="5" t="s">
        <v>275</v>
      </c>
      <c r="Z20" s="5"/>
      <c r="AA20" s="13"/>
      <c r="AB20" s="5"/>
      <c r="AC20" s="10"/>
      <c r="AD20" s="10"/>
      <c r="AE20" s="10"/>
      <c r="AF20" s="10"/>
      <c r="AG20" s="10"/>
      <c r="AH20" s="10"/>
    </row>
    <row r="21" spans="1:34" ht="57.75" customHeight="1">
      <c r="A21" s="11" t="s">
        <v>276</v>
      </c>
      <c r="B21" s="11"/>
      <c r="C21" s="12"/>
      <c r="D21" s="14" t="s">
        <v>277</v>
      </c>
      <c r="E21" s="28" t="s">
        <v>278</v>
      </c>
      <c r="F21" s="13"/>
      <c r="G21" s="13"/>
      <c r="H21" s="13"/>
      <c r="I21" s="5" t="s">
        <v>279</v>
      </c>
      <c r="J21" s="5" t="s">
        <v>280</v>
      </c>
      <c r="K21" s="5"/>
      <c r="L21" s="5"/>
      <c r="M21" s="5"/>
      <c r="N21" s="5"/>
      <c r="O21" s="5"/>
      <c r="P21" s="13"/>
      <c r="Q21" s="14"/>
      <c r="R21" s="14"/>
      <c r="S21" s="13"/>
      <c r="T21" s="5"/>
      <c r="U21" s="5"/>
      <c r="V21" s="26"/>
      <c r="W21" s="5"/>
      <c r="X21" s="5"/>
      <c r="Y21" s="5"/>
      <c r="Z21" s="5"/>
      <c r="AA21" s="14"/>
      <c r="AB21" s="20"/>
      <c r="AC21" s="10"/>
      <c r="AD21" s="10"/>
      <c r="AE21" s="10"/>
      <c r="AF21" s="10"/>
      <c r="AG21" s="10"/>
      <c r="AH21" s="10"/>
    </row>
    <row r="22" spans="1:34" ht="85.5" customHeight="1">
      <c r="A22" s="14" t="s">
        <v>281</v>
      </c>
      <c r="B22" s="14" t="s">
        <v>169</v>
      </c>
      <c r="C22" s="16" t="s">
        <v>144</v>
      </c>
      <c r="D22" s="14" t="s">
        <v>282</v>
      </c>
      <c r="E22" s="5" t="s">
        <v>283</v>
      </c>
      <c r="F22" s="14" t="s">
        <v>76</v>
      </c>
      <c r="G22" s="14" t="s">
        <v>284</v>
      </c>
      <c r="H22" s="14"/>
      <c r="I22" s="5" t="s">
        <v>285</v>
      </c>
      <c r="J22" s="5" t="s">
        <v>286</v>
      </c>
      <c r="K22" s="5"/>
      <c r="L22" s="5"/>
      <c r="M22" s="5" t="s">
        <v>287</v>
      </c>
      <c r="N22" s="19" t="str">
        <f>HYPERLINK("http://purl.org/dc/terms/publisher","dcterms:publisher")</f>
        <v>dcterms:publisher</v>
      </c>
      <c r="O22" s="27" t="s">
        <v>288</v>
      </c>
      <c r="P22" s="14" t="s">
        <v>289</v>
      </c>
      <c r="Q22" s="5" t="s">
        <v>290</v>
      </c>
      <c r="R22" s="5"/>
      <c r="S22" s="14" t="s">
        <v>291</v>
      </c>
      <c r="T22" s="5"/>
      <c r="U22" s="25" t="s">
        <v>292</v>
      </c>
      <c r="V22" s="5" t="s">
        <v>293</v>
      </c>
      <c r="W22" s="5"/>
      <c r="X22" s="27" t="s">
        <v>294</v>
      </c>
      <c r="Y22" s="25" t="s">
        <v>284</v>
      </c>
      <c r="Z22" s="25" t="s">
        <v>295</v>
      </c>
      <c r="AA22" s="5" t="s">
        <v>284</v>
      </c>
      <c r="AB22" s="15" t="s">
        <v>296</v>
      </c>
      <c r="AC22" s="10"/>
      <c r="AD22" s="10"/>
      <c r="AE22" s="10"/>
      <c r="AF22" s="10"/>
      <c r="AG22" s="10"/>
      <c r="AH22" s="10"/>
    </row>
    <row r="23" spans="1:34" ht="127.5">
      <c r="A23" s="14" t="s">
        <v>297</v>
      </c>
      <c r="B23" s="14" t="s">
        <v>169</v>
      </c>
      <c r="C23" s="16" t="s">
        <v>144</v>
      </c>
      <c r="D23" s="14" t="s">
        <v>282</v>
      </c>
      <c r="E23" s="5" t="s">
        <v>298</v>
      </c>
      <c r="F23" s="14" t="s">
        <v>76</v>
      </c>
      <c r="G23" s="14" t="s">
        <v>299</v>
      </c>
      <c r="H23" s="14"/>
      <c r="I23" s="5"/>
      <c r="J23" s="5"/>
      <c r="K23" s="5"/>
      <c r="L23" s="5"/>
      <c r="M23" s="5"/>
      <c r="N23" s="5"/>
      <c r="O23" s="5" t="s">
        <v>300</v>
      </c>
      <c r="P23" s="13"/>
      <c r="Q23" s="14" t="s">
        <v>301</v>
      </c>
      <c r="R23" s="13"/>
      <c r="S23" s="13"/>
      <c r="T23" s="5"/>
      <c r="U23" s="5"/>
      <c r="V23" s="5"/>
      <c r="W23" s="5"/>
      <c r="X23" s="5"/>
      <c r="Y23" s="5"/>
      <c r="Z23" s="5"/>
      <c r="AA23" s="14" t="s">
        <v>299</v>
      </c>
      <c r="AB23" s="5"/>
      <c r="AC23" s="10"/>
      <c r="AD23" s="10"/>
      <c r="AE23" s="10"/>
      <c r="AF23" s="10"/>
      <c r="AG23" s="10"/>
      <c r="AH23" s="10"/>
    </row>
    <row r="24" spans="1:34" ht="31.5" customHeight="1">
      <c r="A24" s="14" t="s">
        <v>302</v>
      </c>
      <c r="B24" s="14" t="s">
        <v>303</v>
      </c>
      <c r="C24" s="16"/>
      <c r="D24" s="13"/>
      <c r="E24" s="14"/>
      <c r="F24" s="13"/>
      <c r="G24" s="13"/>
      <c r="H24" s="13"/>
      <c r="I24" s="25" t="s">
        <v>304</v>
      </c>
      <c r="J24" s="25" t="s">
        <v>305</v>
      </c>
      <c r="K24" s="25"/>
      <c r="L24" s="25"/>
      <c r="M24" s="25"/>
      <c r="N24" s="25"/>
      <c r="O24" s="5"/>
      <c r="P24" s="13"/>
      <c r="Q24" s="13"/>
      <c r="R24" s="13"/>
      <c r="S24" s="14"/>
      <c r="T24" s="5"/>
      <c r="U24" s="21"/>
      <c r="V24" s="5"/>
      <c r="W24" s="5"/>
      <c r="X24" s="5"/>
      <c r="Y24" s="5"/>
      <c r="Z24" s="5"/>
      <c r="AA24" s="13"/>
      <c r="AB24" s="5"/>
      <c r="AC24" s="10"/>
      <c r="AD24" s="10"/>
      <c r="AE24" s="10"/>
      <c r="AF24" s="10"/>
      <c r="AG24" s="10"/>
      <c r="AH24" s="10"/>
    </row>
    <row r="25" spans="1:34" ht="127.5">
      <c r="A25" s="14" t="s">
        <v>306</v>
      </c>
      <c r="B25" s="14" t="s">
        <v>169</v>
      </c>
      <c r="C25" s="16" t="s">
        <v>144</v>
      </c>
      <c r="D25" s="14" t="s">
        <v>282</v>
      </c>
      <c r="E25" s="5" t="s">
        <v>307</v>
      </c>
      <c r="F25" s="14" t="s">
        <v>21</v>
      </c>
      <c r="G25" s="14" t="s">
        <v>308</v>
      </c>
      <c r="H25" s="14"/>
      <c r="I25" s="5"/>
      <c r="J25" s="5"/>
      <c r="K25" s="5" t="s">
        <v>309</v>
      </c>
      <c r="L25" s="5" t="s">
        <v>310</v>
      </c>
      <c r="M25" s="5" t="s">
        <v>311</v>
      </c>
      <c r="N25" s="26" t="s">
        <v>312</v>
      </c>
      <c r="O25" s="10" t="s">
        <v>313</v>
      </c>
      <c r="P25" s="5" t="s">
        <v>314</v>
      </c>
      <c r="Q25" s="5" t="s">
        <v>315</v>
      </c>
      <c r="R25" s="5"/>
      <c r="S25" s="5"/>
      <c r="T25" s="5"/>
      <c r="U25" s="5"/>
      <c r="V25" s="5" t="s">
        <v>316</v>
      </c>
      <c r="W25" s="5" t="s">
        <v>317</v>
      </c>
      <c r="X25" s="5" t="s">
        <v>317</v>
      </c>
      <c r="Y25" s="25" t="s">
        <v>318</v>
      </c>
      <c r="Z25" s="25" t="s">
        <v>319</v>
      </c>
      <c r="AA25" s="5"/>
      <c r="AB25" s="15" t="s">
        <v>320</v>
      </c>
      <c r="AC25" s="10"/>
      <c r="AD25" s="10"/>
      <c r="AE25" s="10"/>
      <c r="AF25" s="10"/>
      <c r="AG25" s="10"/>
      <c r="AH25" s="10"/>
    </row>
    <row r="26" spans="1:34" ht="51" customHeight="1">
      <c r="A26" s="14" t="s">
        <v>321</v>
      </c>
      <c r="B26" s="14" t="s">
        <v>321</v>
      </c>
      <c r="C26" s="16" t="s">
        <v>144</v>
      </c>
      <c r="D26" s="14" t="s">
        <v>322</v>
      </c>
      <c r="E26" s="14" t="s">
        <v>323</v>
      </c>
      <c r="F26" s="14" t="s">
        <v>76</v>
      </c>
      <c r="G26" s="13" t="s">
        <v>324</v>
      </c>
      <c r="H26" s="13"/>
      <c r="I26" s="5"/>
      <c r="J26" s="5"/>
      <c r="K26" s="5"/>
      <c r="L26" s="5"/>
      <c r="M26" s="5"/>
      <c r="N26" s="22" t="str">
        <f>HYPERLINK("http://purl.org/dc/terms/contributor","dcterms:contributor")</f>
        <v>dcterms:contributor</v>
      </c>
      <c r="O26" s="5" t="s">
        <v>325</v>
      </c>
      <c r="P26" s="13"/>
      <c r="Q26" s="14" t="s">
        <v>326</v>
      </c>
      <c r="R26" s="13"/>
      <c r="S26" s="14" t="s">
        <v>327</v>
      </c>
      <c r="T26" s="5" t="s">
        <v>328</v>
      </c>
      <c r="U26" s="5" t="s">
        <v>329</v>
      </c>
      <c r="V26" s="5" t="s">
        <v>330</v>
      </c>
      <c r="W26" s="5"/>
      <c r="X26" s="5"/>
      <c r="Y26" s="5" t="s">
        <v>331</v>
      </c>
      <c r="Z26" s="5"/>
      <c r="AA26" s="14" t="s">
        <v>324</v>
      </c>
      <c r="AB26" s="15" t="s">
        <v>332</v>
      </c>
      <c r="AC26" s="10"/>
      <c r="AD26" s="10"/>
      <c r="AE26" s="10"/>
      <c r="AF26" s="10"/>
      <c r="AG26" s="10"/>
      <c r="AH26" s="10"/>
    </row>
    <row r="27" spans="1:34" ht="33.75" customHeight="1">
      <c r="A27" s="14" t="s">
        <v>333</v>
      </c>
      <c r="B27" s="11" t="s">
        <v>334</v>
      </c>
      <c r="C27" s="16" t="s">
        <v>55</v>
      </c>
      <c r="D27" s="14" t="s">
        <v>335</v>
      </c>
      <c r="E27" s="25" t="s">
        <v>336</v>
      </c>
      <c r="F27" s="14"/>
      <c r="G27" s="14"/>
      <c r="H27" s="14"/>
      <c r="I27" s="5" t="s">
        <v>337</v>
      </c>
      <c r="J27" s="5" t="s">
        <v>338</v>
      </c>
      <c r="K27" s="5"/>
      <c r="L27" s="5"/>
      <c r="M27" s="5"/>
      <c r="N27" s="26"/>
      <c r="O27" s="5"/>
      <c r="P27" s="14"/>
      <c r="Q27" s="14"/>
      <c r="R27" s="13"/>
      <c r="S27" s="14"/>
      <c r="T27" s="5"/>
      <c r="U27" s="26"/>
      <c r="V27" s="5"/>
      <c r="W27" s="5"/>
      <c r="X27" s="5"/>
      <c r="Y27" s="5"/>
      <c r="Z27" s="5"/>
      <c r="AA27" s="13"/>
      <c r="AB27" s="5"/>
      <c r="AC27" s="10"/>
      <c r="AD27" s="10"/>
      <c r="AE27" s="10"/>
      <c r="AF27" s="10"/>
      <c r="AG27" s="10"/>
      <c r="AH27" s="10"/>
    </row>
    <row r="28" spans="1:34" ht="29.25" customHeight="1">
      <c r="A28" s="14" t="s">
        <v>333</v>
      </c>
      <c r="B28" s="11" t="s">
        <v>334</v>
      </c>
      <c r="C28" s="16" t="s">
        <v>55</v>
      </c>
      <c r="D28" s="14" t="s">
        <v>335</v>
      </c>
      <c r="E28" s="25" t="s">
        <v>339</v>
      </c>
      <c r="F28" s="14"/>
      <c r="G28" s="14"/>
      <c r="H28" s="14"/>
      <c r="I28" s="5" t="s">
        <v>340</v>
      </c>
      <c r="J28" s="5" t="s">
        <v>341</v>
      </c>
      <c r="K28" s="5"/>
      <c r="L28" s="5"/>
      <c r="M28" s="5"/>
      <c r="N28" s="26" t="s">
        <v>342</v>
      </c>
      <c r="O28" s="5"/>
      <c r="P28" s="14"/>
      <c r="Q28" s="14"/>
      <c r="R28" s="13"/>
      <c r="S28" s="14"/>
      <c r="T28" s="5"/>
      <c r="U28" s="26"/>
      <c r="V28" s="5"/>
      <c r="W28" s="5"/>
      <c r="X28" s="5"/>
      <c r="Y28" s="5"/>
      <c r="Z28" s="5"/>
      <c r="AA28" s="13"/>
      <c r="AB28" s="5"/>
      <c r="AC28" s="10"/>
      <c r="AD28" s="10"/>
      <c r="AE28" s="10"/>
      <c r="AF28" s="10"/>
      <c r="AG28" s="10"/>
      <c r="AH28" s="10"/>
    </row>
    <row r="29" spans="1:34" ht="92.25" customHeight="1">
      <c r="A29" s="14" t="s">
        <v>343</v>
      </c>
      <c r="B29" s="14" t="s">
        <v>262</v>
      </c>
      <c r="C29" s="16" t="s">
        <v>55</v>
      </c>
      <c r="D29" s="14" t="s">
        <v>344</v>
      </c>
      <c r="E29" s="25" t="s">
        <v>345</v>
      </c>
      <c r="F29" s="14"/>
      <c r="G29" s="14"/>
      <c r="H29" s="14"/>
      <c r="I29" s="5" t="s">
        <v>346</v>
      </c>
      <c r="J29" s="5" t="s">
        <v>347</v>
      </c>
      <c r="K29" s="5"/>
      <c r="L29" s="5"/>
      <c r="M29" s="5"/>
      <c r="N29" s="26" t="s">
        <v>264</v>
      </c>
      <c r="O29" s="5"/>
      <c r="P29" s="14"/>
      <c r="Q29" s="14"/>
      <c r="R29" s="13"/>
      <c r="S29" s="14"/>
      <c r="T29" s="5"/>
      <c r="U29" s="26"/>
      <c r="V29" s="5"/>
      <c r="W29" s="5"/>
      <c r="X29" s="5"/>
      <c r="Y29" s="5"/>
      <c r="Z29" s="5"/>
      <c r="AA29" s="13"/>
      <c r="AB29" s="5"/>
      <c r="AC29" s="10"/>
      <c r="AD29" s="10"/>
      <c r="AE29" s="10"/>
      <c r="AF29" s="10"/>
      <c r="AG29" s="10"/>
      <c r="AH29" s="10"/>
    </row>
    <row r="30" spans="1:34" ht="86.25" customHeight="1">
      <c r="A30" s="14" t="s">
        <v>348</v>
      </c>
      <c r="B30" s="14" t="s">
        <v>349</v>
      </c>
      <c r="C30" s="16" t="s">
        <v>144</v>
      </c>
      <c r="D30" s="14" t="s">
        <v>350</v>
      </c>
      <c r="E30" s="10" t="s">
        <v>351</v>
      </c>
      <c r="F30" s="14" t="s">
        <v>21</v>
      </c>
      <c r="G30" s="14" t="s">
        <v>352</v>
      </c>
      <c r="H30" s="14"/>
      <c r="I30" s="5"/>
      <c r="J30" s="5" t="s">
        <v>353</v>
      </c>
      <c r="K30" s="5" t="s">
        <v>348</v>
      </c>
      <c r="L30" s="5" t="s">
        <v>354</v>
      </c>
      <c r="M30" s="5" t="s">
        <v>355</v>
      </c>
      <c r="N30" s="29" t="s">
        <v>356</v>
      </c>
      <c r="O30" s="5" t="s">
        <v>357</v>
      </c>
      <c r="P30" s="10"/>
      <c r="Q30" s="14" t="s">
        <v>358</v>
      </c>
      <c r="R30" s="5"/>
      <c r="S30" s="5"/>
      <c r="T30" s="5"/>
      <c r="U30" s="5"/>
      <c r="V30" s="26" t="s">
        <v>359</v>
      </c>
      <c r="W30" s="5"/>
      <c r="X30" s="5"/>
      <c r="Y30" s="25"/>
      <c r="Z30" s="25"/>
      <c r="AA30" s="5"/>
      <c r="AB30" s="15"/>
      <c r="AC30" s="10"/>
      <c r="AD30" s="10"/>
      <c r="AE30" s="10"/>
      <c r="AF30" s="10"/>
      <c r="AG30" s="10"/>
      <c r="AH30" s="10"/>
    </row>
    <row r="31" spans="1:34" ht="86.25" customHeight="1">
      <c r="A31" s="11" t="s">
        <v>360</v>
      </c>
      <c r="B31" s="11" t="s">
        <v>361</v>
      </c>
      <c r="C31" s="12"/>
      <c r="D31" s="27"/>
      <c r="E31" s="5" t="s">
        <v>362</v>
      </c>
      <c r="F31" s="27" t="s">
        <v>363</v>
      </c>
      <c r="G31" s="5" t="s">
        <v>364</v>
      </c>
      <c r="H31" s="5"/>
      <c r="I31" s="5"/>
      <c r="J31" s="5"/>
      <c r="K31" s="5" t="s">
        <v>365</v>
      </c>
      <c r="L31" s="5"/>
      <c r="M31" s="5" t="s">
        <v>366</v>
      </c>
      <c r="N31" s="5" t="s">
        <v>367</v>
      </c>
      <c r="O31" s="25"/>
      <c r="P31" s="5" t="s">
        <v>368</v>
      </c>
      <c r="Q31" s="5" t="s">
        <v>369</v>
      </c>
      <c r="R31" s="5" t="s">
        <v>370</v>
      </c>
      <c r="S31" s="5"/>
      <c r="T31" s="5" t="s">
        <v>370</v>
      </c>
      <c r="U31" s="25" t="s">
        <v>371</v>
      </c>
      <c r="V31" s="5"/>
      <c r="W31" s="5" t="s">
        <v>364</v>
      </c>
      <c r="X31" s="5"/>
      <c r="Y31" s="5" t="s">
        <v>372</v>
      </c>
      <c r="Z31" s="5"/>
      <c r="AA31" s="5"/>
      <c r="AB31" s="5"/>
      <c r="AC31" s="10"/>
      <c r="AD31" s="10"/>
      <c r="AE31" s="10"/>
      <c r="AF31" s="10"/>
      <c r="AG31" s="10"/>
      <c r="AH31" s="10"/>
    </row>
    <row r="32" spans="1:34" ht="86.25" customHeight="1">
      <c r="A32" s="11" t="s">
        <v>360</v>
      </c>
      <c r="B32" s="11" t="s">
        <v>373</v>
      </c>
      <c r="C32" s="12"/>
      <c r="D32" s="27"/>
      <c r="E32" s="5"/>
      <c r="F32" s="27"/>
      <c r="G32" s="5"/>
      <c r="H32" s="5"/>
      <c r="I32" s="5"/>
      <c r="J32" s="5"/>
      <c r="K32" s="5"/>
      <c r="L32" s="5"/>
      <c r="M32" s="5"/>
      <c r="N32" s="5" t="s">
        <v>374</v>
      </c>
      <c r="O32" s="5"/>
      <c r="P32" s="10"/>
      <c r="Q32" s="5"/>
      <c r="R32" s="5"/>
      <c r="S32" s="5"/>
      <c r="T32" s="5"/>
      <c r="U32" s="5"/>
      <c r="V32" s="26"/>
      <c r="W32" s="5"/>
      <c r="X32" s="5"/>
      <c r="Y32" s="5"/>
      <c r="Z32" s="5"/>
      <c r="AA32" s="5"/>
      <c r="AB32" s="15"/>
      <c r="AC32" s="10"/>
      <c r="AD32" s="10"/>
      <c r="AE32" s="10"/>
      <c r="AF32" s="10"/>
      <c r="AG32" s="10"/>
      <c r="AH32" s="10"/>
    </row>
    <row r="33" spans="1:34" ht="86.25" customHeight="1">
      <c r="A33" s="11" t="s">
        <v>360</v>
      </c>
      <c r="B33" s="11" t="s">
        <v>375</v>
      </c>
      <c r="C33" s="12" t="s">
        <v>376</v>
      </c>
      <c r="D33" s="5" t="s">
        <v>377</v>
      </c>
      <c r="E33" s="5" t="s">
        <v>378</v>
      </c>
      <c r="F33" s="5" t="s">
        <v>379</v>
      </c>
      <c r="G33" s="5" t="s">
        <v>380</v>
      </c>
      <c r="H33" s="5"/>
      <c r="I33" s="5" t="s">
        <v>381</v>
      </c>
      <c r="J33" s="5" t="s">
        <v>382</v>
      </c>
      <c r="K33" s="5"/>
      <c r="L33" s="5"/>
      <c r="M33" s="5" t="s">
        <v>383</v>
      </c>
      <c r="N33" s="5" t="s">
        <v>384</v>
      </c>
      <c r="O33" s="5"/>
      <c r="P33" s="5" t="s">
        <v>385</v>
      </c>
      <c r="Q33" s="5" t="s">
        <v>386</v>
      </c>
      <c r="R33" s="5" t="s">
        <v>387</v>
      </c>
      <c r="S33" s="5"/>
      <c r="T33" s="5" t="s">
        <v>388</v>
      </c>
      <c r="U33" s="10" t="s">
        <v>371</v>
      </c>
      <c r="V33" s="5"/>
      <c r="W33" s="5" t="s">
        <v>364</v>
      </c>
      <c r="X33" s="5"/>
      <c r="Y33" s="5"/>
      <c r="Z33" s="5"/>
      <c r="AA33" s="5"/>
      <c r="AB33" s="15" t="s">
        <v>389</v>
      </c>
      <c r="AC33" s="10"/>
      <c r="AD33" s="10"/>
      <c r="AE33" s="10"/>
      <c r="AF33" s="10"/>
      <c r="AG33" s="10"/>
      <c r="AH33" s="10"/>
    </row>
    <row r="34" spans="1:34" ht="86.25" customHeight="1">
      <c r="A34" s="11" t="s">
        <v>360</v>
      </c>
      <c r="B34" s="11" t="s">
        <v>390</v>
      </c>
      <c r="C34" s="12" t="s">
        <v>376</v>
      </c>
      <c r="D34" s="5" t="s">
        <v>391</v>
      </c>
      <c r="E34" s="14" t="s">
        <v>392</v>
      </c>
      <c r="F34" s="13" t="s">
        <v>21</v>
      </c>
      <c r="G34" s="13" t="s">
        <v>393</v>
      </c>
      <c r="H34" s="13"/>
      <c r="I34" s="5"/>
      <c r="J34" s="5"/>
      <c r="K34" s="5"/>
      <c r="L34" s="5"/>
      <c r="M34" s="5" t="s">
        <v>394</v>
      </c>
      <c r="N34" s="5" t="s">
        <v>395</v>
      </c>
      <c r="O34" s="5"/>
      <c r="P34" s="5" t="s">
        <v>396</v>
      </c>
      <c r="Q34" s="5" t="s">
        <v>397</v>
      </c>
      <c r="R34" s="5" t="s">
        <v>398</v>
      </c>
      <c r="S34" s="5"/>
      <c r="T34" s="5" t="s">
        <v>30</v>
      </c>
      <c r="U34" s="21" t="s">
        <v>399</v>
      </c>
      <c r="V34" s="5" t="s">
        <v>400</v>
      </c>
      <c r="W34" s="5" t="s">
        <v>398</v>
      </c>
      <c r="X34" s="5"/>
      <c r="Y34" s="5" t="s">
        <v>401</v>
      </c>
      <c r="Z34" s="5"/>
      <c r="AA34" s="5" t="s">
        <v>393</v>
      </c>
      <c r="AB34" s="15" t="s">
        <v>389</v>
      </c>
      <c r="AC34" s="10"/>
      <c r="AD34" s="10"/>
      <c r="AE34" s="10"/>
      <c r="AF34" s="10"/>
      <c r="AG34" s="10"/>
      <c r="AH34" s="10"/>
    </row>
    <row r="35" spans="1:34" ht="86.25" customHeight="1">
      <c r="A35" s="11" t="s">
        <v>402</v>
      </c>
      <c r="B35" s="11" t="s">
        <v>402</v>
      </c>
      <c r="C35" s="12" t="s">
        <v>144</v>
      </c>
      <c r="D35" s="5" t="s">
        <v>403</v>
      </c>
      <c r="E35" s="5" t="s">
        <v>404</v>
      </c>
      <c r="F35" s="5" t="s">
        <v>405</v>
      </c>
      <c r="G35" s="5" t="s">
        <v>406</v>
      </c>
      <c r="H35" s="5"/>
      <c r="I35" s="5"/>
      <c r="J35" s="5"/>
      <c r="K35" s="5"/>
      <c r="L35" s="5"/>
      <c r="M35" s="5"/>
      <c r="N35" s="22" t="str">
        <f>HYPERLINK("http://www.w3.org/ns/sosa/observedProperty","sosa:observedProperty")</f>
        <v>sosa:observedProperty</v>
      </c>
      <c r="O35" s="5"/>
      <c r="P35" s="5"/>
      <c r="Q35" s="25" t="s">
        <v>407</v>
      </c>
      <c r="R35" s="25" t="s">
        <v>408</v>
      </c>
      <c r="S35" s="5"/>
      <c r="T35" s="25" t="s">
        <v>409</v>
      </c>
      <c r="U35" s="5"/>
      <c r="V35" s="5"/>
      <c r="W35" s="5" t="s">
        <v>410</v>
      </c>
      <c r="X35" s="5"/>
      <c r="Y35" s="5" t="s">
        <v>411</v>
      </c>
      <c r="Z35" s="5"/>
      <c r="AA35" s="5"/>
      <c r="AB35" s="20" t="s">
        <v>412</v>
      </c>
      <c r="AC35" s="10"/>
      <c r="AD35" s="10"/>
      <c r="AE35" s="10"/>
      <c r="AF35" s="10"/>
      <c r="AG35" s="10"/>
      <c r="AH35" s="10"/>
    </row>
    <row r="36" spans="1:34" ht="86.25" customHeight="1">
      <c r="A36" s="14" t="s">
        <v>402</v>
      </c>
      <c r="B36" s="14" t="s">
        <v>402</v>
      </c>
      <c r="C36" s="3" t="s">
        <v>144</v>
      </c>
      <c r="D36" s="5" t="s">
        <v>413</v>
      </c>
      <c r="E36" s="5" t="s">
        <v>414</v>
      </c>
      <c r="F36" s="5"/>
      <c r="G36" s="5"/>
      <c r="H36" s="5"/>
      <c r="I36" s="5"/>
      <c r="J36" s="5"/>
      <c r="K36" s="5"/>
      <c r="L36" s="5"/>
      <c r="M36" s="5"/>
      <c r="N36" s="5"/>
      <c r="O36" s="5"/>
      <c r="P36" s="10"/>
      <c r="Q36" s="5"/>
      <c r="R36" s="5"/>
      <c r="S36" s="5"/>
      <c r="T36" s="5"/>
      <c r="U36" s="5"/>
      <c r="V36" s="26"/>
      <c r="W36" s="5"/>
      <c r="X36" s="5"/>
      <c r="Y36" s="5"/>
      <c r="Z36" s="5"/>
      <c r="AA36" s="5"/>
      <c r="AB36" s="15"/>
      <c r="AC36" s="10"/>
      <c r="AD36" s="10"/>
      <c r="AE36" s="10"/>
      <c r="AF36" s="10"/>
      <c r="AG36" s="10"/>
      <c r="AH36" s="10"/>
    </row>
    <row r="37" spans="1:34" ht="86.25" customHeight="1">
      <c r="A37" s="1" t="s">
        <v>415</v>
      </c>
      <c r="B37" s="5" t="s">
        <v>415</v>
      </c>
      <c r="C37" s="3" t="s">
        <v>55</v>
      </c>
      <c r="D37" s="5" t="s">
        <v>416</v>
      </c>
      <c r="E37" s="5" t="s">
        <v>417</v>
      </c>
      <c r="F37" s="5"/>
      <c r="G37" s="5"/>
      <c r="H37" s="5"/>
      <c r="I37" s="5" t="s">
        <v>418</v>
      </c>
      <c r="J37" s="5" t="s">
        <v>419</v>
      </c>
      <c r="K37" s="5"/>
      <c r="L37" s="5"/>
      <c r="M37" s="5"/>
      <c r="N37" s="5" t="s">
        <v>420</v>
      </c>
      <c r="O37" s="5"/>
      <c r="P37" s="10"/>
      <c r="Q37" s="5"/>
      <c r="R37" s="5"/>
      <c r="S37" s="5"/>
      <c r="T37" s="5"/>
      <c r="U37" s="5"/>
      <c r="V37" s="26"/>
      <c r="W37" s="5"/>
      <c r="X37" s="5"/>
      <c r="Y37" s="5"/>
      <c r="Z37" s="5"/>
      <c r="AA37" s="5"/>
      <c r="AB37" s="15"/>
      <c r="AC37" s="10"/>
      <c r="AD37" s="10"/>
      <c r="AE37" s="10"/>
      <c r="AF37" s="10"/>
      <c r="AG37" s="10"/>
      <c r="AH37" s="10"/>
    </row>
    <row r="38" spans="1:34" ht="86.25" customHeight="1">
      <c r="A38" s="14" t="s">
        <v>421</v>
      </c>
      <c r="B38" s="11" t="s">
        <v>422</v>
      </c>
      <c r="C38" s="12">
        <v>1</v>
      </c>
      <c r="D38" s="14" t="s">
        <v>423</v>
      </c>
      <c r="E38" s="25" t="s">
        <v>424</v>
      </c>
      <c r="F38" s="14"/>
      <c r="G38" s="14"/>
      <c r="H38" s="14"/>
      <c r="I38" s="5"/>
      <c r="J38" s="5"/>
      <c r="K38" s="5" t="s">
        <v>425</v>
      </c>
      <c r="L38" s="5" t="s">
        <v>426</v>
      </c>
      <c r="M38" s="5"/>
      <c r="N38" s="26"/>
      <c r="O38" s="5"/>
      <c r="P38" s="14"/>
      <c r="Q38" s="14"/>
      <c r="R38" s="13"/>
      <c r="S38" s="14"/>
      <c r="T38" s="5"/>
      <c r="U38" s="26"/>
      <c r="V38" s="5"/>
      <c r="W38" s="5"/>
      <c r="X38" s="5"/>
      <c r="Y38" s="5"/>
      <c r="Z38" s="5"/>
      <c r="AA38" s="13"/>
      <c r="AB38" s="5"/>
      <c r="AC38" s="10"/>
      <c r="AD38" s="10"/>
      <c r="AE38" s="10"/>
      <c r="AF38" s="10"/>
      <c r="AG38" s="10"/>
      <c r="AH38" s="10"/>
    </row>
    <row r="39" spans="1:34" ht="86.25" customHeight="1">
      <c r="A39" s="14" t="s">
        <v>427</v>
      </c>
      <c r="B39" s="14" t="s">
        <v>428</v>
      </c>
      <c r="C39" s="16">
        <v>1</v>
      </c>
      <c r="D39" s="14" t="s">
        <v>429</v>
      </c>
      <c r="E39" s="14" t="s">
        <v>430</v>
      </c>
      <c r="F39" s="14"/>
      <c r="G39" s="14"/>
      <c r="H39" s="14"/>
      <c r="I39" s="5"/>
      <c r="J39" s="5"/>
      <c r="K39" s="5"/>
      <c r="L39" s="5"/>
      <c r="M39" s="5"/>
      <c r="N39" s="5" t="s">
        <v>431</v>
      </c>
      <c r="O39" s="5"/>
      <c r="P39" s="14"/>
      <c r="Q39" s="30"/>
      <c r="R39" s="13"/>
      <c r="S39" s="14"/>
      <c r="T39" s="5"/>
      <c r="U39" s="5"/>
      <c r="V39" s="5"/>
      <c r="W39" s="5"/>
      <c r="X39" s="5"/>
      <c r="Y39" s="5"/>
      <c r="Z39" s="5"/>
      <c r="AA39" s="14"/>
      <c r="AB39" s="5"/>
      <c r="AC39" s="10"/>
      <c r="AD39" s="10"/>
      <c r="AE39" s="10"/>
      <c r="AF39" s="10"/>
      <c r="AG39" s="10"/>
      <c r="AH39" s="10"/>
    </row>
    <row r="40" spans="1:34" ht="86.25" customHeight="1">
      <c r="A40" s="14" t="s">
        <v>432</v>
      </c>
      <c r="B40" s="14" t="s">
        <v>433</v>
      </c>
      <c r="C40" s="16" t="s">
        <v>55</v>
      </c>
      <c r="D40" s="14" t="s">
        <v>434</v>
      </c>
      <c r="E40" s="14" t="s">
        <v>435</v>
      </c>
      <c r="F40" s="14" t="s">
        <v>436</v>
      </c>
      <c r="G40" s="14"/>
      <c r="H40" s="14"/>
      <c r="I40" s="5"/>
      <c r="J40" s="5"/>
      <c r="K40" s="5" t="s">
        <v>437</v>
      </c>
      <c r="L40" s="5" t="s">
        <v>438</v>
      </c>
      <c r="M40" s="5"/>
      <c r="N40" s="5" t="s">
        <v>439</v>
      </c>
      <c r="O40" s="5"/>
      <c r="P40" s="14"/>
      <c r="Q40" s="30" t="s">
        <v>440</v>
      </c>
      <c r="R40" s="13"/>
      <c r="S40" s="14"/>
      <c r="T40" s="5"/>
      <c r="U40" s="5"/>
      <c r="V40" s="5"/>
      <c r="W40" s="5"/>
      <c r="X40" s="5"/>
      <c r="Y40" s="5"/>
      <c r="Z40" s="5"/>
      <c r="AA40" s="14"/>
      <c r="AB40" s="5"/>
      <c r="AC40" s="10"/>
      <c r="AD40" s="10"/>
      <c r="AE40" s="10"/>
      <c r="AF40" s="10"/>
      <c r="AG40" s="10"/>
      <c r="AH40" s="10"/>
    </row>
    <row r="41" spans="1:34" ht="86.25" customHeight="1">
      <c r="A41" s="14" t="s">
        <v>441</v>
      </c>
      <c r="B41" s="11" t="s">
        <v>442</v>
      </c>
      <c r="C41" s="31" t="s">
        <v>443</v>
      </c>
      <c r="D41" s="14" t="s">
        <v>444</v>
      </c>
      <c r="E41" s="14" t="s">
        <v>445</v>
      </c>
      <c r="F41" s="14"/>
      <c r="G41" s="13"/>
      <c r="H41" s="13"/>
      <c r="I41" s="5" t="s">
        <v>446</v>
      </c>
      <c r="J41" s="5" t="s">
        <v>447</v>
      </c>
      <c r="K41" s="5" t="s">
        <v>448</v>
      </c>
      <c r="L41" s="5" t="s">
        <v>449</v>
      </c>
      <c r="M41" s="5"/>
      <c r="N41" s="5" t="s">
        <v>450</v>
      </c>
      <c r="O41" s="5"/>
      <c r="P41" s="13"/>
      <c r="Q41" s="14"/>
      <c r="R41" s="13"/>
      <c r="S41" s="14"/>
      <c r="T41" s="5"/>
      <c r="U41" s="5"/>
      <c r="V41" s="5"/>
      <c r="W41" s="5"/>
      <c r="X41" s="5"/>
      <c r="Y41" s="5"/>
      <c r="Z41" s="5"/>
      <c r="AA41" s="14"/>
      <c r="AB41" s="15"/>
      <c r="AC41" s="10"/>
      <c r="AD41" s="10"/>
      <c r="AE41" s="10"/>
      <c r="AF41" s="10"/>
      <c r="AG41" s="10"/>
      <c r="AH41" s="10"/>
    </row>
    <row r="42" spans="1:34" ht="86.25" customHeight="1">
      <c r="A42" s="11" t="s">
        <v>451</v>
      </c>
      <c r="B42" s="14" t="s">
        <v>452</v>
      </c>
      <c r="C42" s="16" t="s">
        <v>55</v>
      </c>
      <c r="D42" s="14" t="s">
        <v>453</v>
      </c>
      <c r="E42" s="14" t="s">
        <v>454</v>
      </c>
      <c r="F42" s="14"/>
      <c r="G42" s="14"/>
      <c r="H42" s="14"/>
      <c r="I42" s="5"/>
      <c r="J42" s="5"/>
      <c r="K42" s="23"/>
      <c r="L42" s="23"/>
      <c r="M42" s="23"/>
      <c r="N42" s="23"/>
      <c r="O42" s="25"/>
      <c r="P42" s="14"/>
      <c r="Q42" s="14"/>
      <c r="R42" s="14"/>
      <c r="S42" s="14"/>
      <c r="T42" s="5"/>
      <c r="U42" s="25"/>
      <c r="V42" s="5"/>
      <c r="W42" s="5"/>
      <c r="X42" s="25"/>
      <c r="Y42" s="25"/>
      <c r="Z42" s="25"/>
      <c r="AA42" s="14"/>
      <c r="AB42" s="5"/>
      <c r="AC42" s="10"/>
      <c r="AD42" s="10"/>
      <c r="AE42" s="10"/>
      <c r="AF42" s="10"/>
      <c r="AG42" s="10"/>
      <c r="AH42" s="10"/>
    </row>
    <row r="43" spans="1:34" ht="86.25" customHeight="1">
      <c r="A43" s="1" t="s">
        <v>455</v>
      </c>
      <c r="B43" s="1" t="s">
        <v>262</v>
      </c>
      <c r="C43" s="5" t="s">
        <v>55</v>
      </c>
      <c r="D43" s="14" t="s">
        <v>344</v>
      </c>
      <c r="E43" s="5" t="s">
        <v>456</v>
      </c>
      <c r="F43" s="25" t="s">
        <v>457</v>
      </c>
      <c r="G43" s="5" t="s">
        <v>458</v>
      </c>
      <c r="H43" s="5"/>
      <c r="I43" s="5"/>
      <c r="J43" s="5"/>
      <c r="K43" s="5"/>
      <c r="L43" s="5"/>
      <c r="M43" s="5"/>
      <c r="N43" s="5" t="s">
        <v>459</v>
      </c>
      <c r="O43" s="5" t="s">
        <v>460</v>
      </c>
      <c r="P43" s="5"/>
      <c r="Q43" s="5" t="s">
        <v>461</v>
      </c>
      <c r="R43" s="5"/>
      <c r="S43" s="5" t="s">
        <v>462</v>
      </c>
      <c r="T43" s="5"/>
      <c r="U43" s="5"/>
      <c r="V43" s="5" t="s">
        <v>463</v>
      </c>
      <c r="W43" s="5"/>
      <c r="X43" s="5"/>
      <c r="Y43" s="5" t="s">
        <v>455</v>
      </c>
      <c r="Z43" s="5"/>
      <c r="AA43" s="5" t="s">
        <v>464</v>
      </c>
      <c r="AB43" s="5"/>
      <c r="AC43" s="10"/>
      <c r="AD43" s="10"/>
      <c r="AE43" s="10"/>
      <c r="AF43" s="10"/>
      <c r="AG43" s="10"/>
      <c r="AH43" s="10"/>
    </row>
    <row r="44" spans="1:34" ht="86.25" customHeight="1">
      <c r="A44" s="14" t="s">
        <v>465</v>
      </c>
      <c r="B44" s="11"/>
      <c r="C44" s="12"/>
      <c r="D44" s="14" t="s">
        <v>466</v>
      </c>
      <c r="E44" s="13" t="s">
        <v>467</v>
      </c>
      <c r="F44" s="14" t="s">
        <v>21</v>
      </c>
      <c r="G44" s="14" t="s">
        <v>468</v>
      </c>
      <c r="H44" s="14"/>
      <c r="I44" s="5"/>
      <c r="J44" s="5"/>
      <c r="K44" s="5"/>
      <c r="L44" s="5"/>
      <c r="M44" s="5"/>
      <c r="N44" s="5" t="s">
        <v>469</v>
      </c>
      <c r="O44" s="5" t="s">
        <v>470</v>
      </c>
      <c r="P44" s="5"/>
      <c r="Q44" s="5" t="s">
        <v>471</v>
      </c>
      <c r="R44" s="5" t="s">
        <v>472</v>
      </c>
      <c r="S44" s="5" t="s">
        <v>473</v>
      </c>
      <c r="T44" s="5" t="s">
        <v>474</v>
      </c>
      <c r="U44" s="5"/>
      <c r="V44" s="5"/>
      <c r="W44" s="5"/>
      <c r="X44" s="5"/>
      <c r="Y44" s="5"/>
      <c r="Z44" s="5" t="s">
        <v>475</v>
      </c>
      <c r="AA44" s="5" t="s">
        <v>476</v>
      </c>
      <c r="AB44" s="15" t="s">
        <v>477</v>
      </c>
      <c r="AC44" s="10"/>
      <c r="AD44" s="10"/>
      <c r="AE44" s="10"/>
      <c r="AF44" s="10"/>
      <c r="AG44" s="10"/>
      <c r="AH44" s="10"/>
    </row>
    <row r="45" spans="1:34" ht="86.25" customHeight="1">
      <c r="A45" s="14" t="s">
        <v>478</v>
      </c>
      <c r="B45" s="11"/>
      <c r="C45" s="12"/>
      <c r="D45" s="32" t="s">
        <v>479</v>
      </c>
      <c r="E45" s="32" t="s">
        <v>480</v>
      </c>
      <c r="F45" s="33" t="s">
        <v>21</v>
      </c>
      <c r="G45" s="32" t="s">
        <v>481</v>
      </c>
      <c r="H45" s="32"/>
      <c r="I45" s="5"/>
      <c r="J45" s="5"/>
      <c r="K45" s="5"/>
      <c r="L45" s="5"/>
      <c r="M45" s="5"/>
      <c r="N45" s="5" t="s">
        <v>482</v>
      </c>
      <c r="O45" s="5" t="s">
        <v>483</v>
      </c>
      <c r="P45" s="5"/>
      <c r="Q45" s="5" t="s">
        <v>484</v>
      </c>
      <c r="R45" s="5"/>
      <c r="S45" s="5" t="s">
        <v>485</v>
      </c>
      <c r="T45" s="5"/>
      <c r="U45" s="5"/>
      <c r="V45" s="26" t="s">
        <v>486</v>
      </c>
      <c r="W45" s="5" t="s">
        <v>481</v>
      </c>
      <c r="X45" s="5"/>
      <c r="Y45" s="5" t="s">
        <v>487</v>
      </c>
      <c r="Z45" s="5"/>
      <c r="AA45" s="5"/>
      <c r="AB45" s="15" t="s">
        <v>488</v>
      </c>
      <c r="AC45" s="10"/>
      <c r="AD45" s="10"/>
      <c r="AE45" s="10"/>
      <c r="AF45" s="10"/>
      <c r="AG45" s="10"/>
      <c r="AH45" s="10"/>
    </row>
    <row r="46" spans="1:34" ht="86.25" customHeight="1">
      <c r="A46" s="14" t="s">
        <v>489</v>
      </c>
      <c r="B46" s="14"/>
      <c r="C46" s="16"/>
      <c r="D46" s="14" t="s">
        <v>490</v>
      </c>
      <c r="E46" s="5" t="s">
        <v>491</v>
      </c>
      <c r="F46" s="14" t="s">
        <v>492</v>
      </c>
      <c r="G46" s="14" t="s">
        <v>493</v>
      </c>
      <c r="H46" s="14"/>
      <c r="I46" s="5"/>
      <c r="J46" s="5"/>
      <c r="K46" s="5"/>
      <c r="L46" s="5"/>
      <c r="M46" s="5" t="s">
        <v>494</v>
      </c>
      <c r="N46" s="27" t="s">
        <v>495</v>
      </c>
      <c r="O46" s="5" t="s">
        <v>496</v>
      </c>
      <c r="P46" s="14"/>
      <c r="Q46" s="14" t="s">
        <v>497</v>
      </c>
      <c r="R46" s="14" t="s">
        <v>498</v>
      </c>
      <c r="S46" s="14"/>
      <c r="T46" s="5"/>
      <c r="U46" s="5"/>
      <c r="V46" s="5" t="s">
        <v>499</v>
      </c>
      <c r="W46" s="5"/>
      <c r="X46" s="5"/>
      <c r="Y46" s="5"/>
      <c r="Z46" s="5"/>
      <c r="AA46" s="13"/>
      <c r="AB46" s="5"/>
      <c r="AC46" s="10"/>
      <c r="AD46" s="10"/>
      <c r="AE46" s="10"/>
      <c r="AF46" s="10"/>
      <c r="AG46" s="10"/>
      <c r="AH46" s="10"/>
    </row>
    <row r="47" spans="1:34" ht="84.75" customHeight="1">
      <c r="A47" s="14" t="s">
        <v>500</v>
      </c>
      <c r="B47" s="14" t="s">
        <v>501</v>
      </c>
      <c r="C47" s="13"/>
      <c r="D47" s="14" t="s">
        <v>502</v>
      </c>
      <c r="E47" s="14" t="s">
        <v>503</v>
      </c>
      <c r="F47" s="13"/>
      <c r="G47" s="13"/>
      <c r="H47" s="13"/>
      <c r="I47" s="5"/>
      <c r="J47" s="5"/>
      <c r="K47" s="5"/>
      <c r="L47" s="5"/>
      <c r="M47" s="5" t="s">
        <v>504</v>
      </c>
      <c r="N47" s="27" t="s">
        <v>504</v>
      </c>
      <c r="O47" s="5"/>
      <c r="P47" s="13"/>
      <c r="Q47" s="14" t="s">
        <v>505</v>
      </c>
      <c r="R47" s="13"/>
      <c r="S47" s="14"/>
      <c r="T47" s="5"/>
      <c r="U47" s="5"/>
      <c r="V47" s="5"/>
      <c r="W47" s="5"/>
      <c r="X47" s="5"/>
      <c r="Y47" s="5"/>
      <c r="Z47" s="5"/>
      <c r="AA47" s="13"/>
      <c r="AB47" s="5"/>
      <c r="AC47" s="10"/>
      <c r="AD47" s="10"/>
      <c r="AE47" s="10"/>
      <c r="AF47" s="10"/>
      <c r="AG47" s="10"/>
      <c r="AH47" s="10"/>
    </row>
    <row r="48" spans="1:34" ht="86.25" customHeight="1">
      <c r="A48" s="14" t="s">
        <v>506</v>
      </c>
      <c r="B48" s="13"/>
      <c r="C48" s="13"/>
      <c r="D48" s="14" t="s">
        <v>507</v>
      </c>
      <c r="E48" s="14" t="s">
        <v>508</v>
      </c>
      <c r="F48" s="13" t="s">
        <v>76</v>
      </c>
      <c r="G48" s="13" t="s">
        <v>509</v>
      </c>
      <c r="H48" s="13"/>
      <c r="I48" s="5"/>
      <c r="J48" s="5"/>
      <c r="K48" s="5"/>
      <c r="L48" s="5"/>
      <c r="M48" s="22" t="str">
        <f t="shared" ref="M48:N48" si="1">HYPERLINK("http://purl.org/dc/terms/dateCopyrighted","dcterms:dateCopyrighted")</f>
        <v>dcterms:dateCopyrighted</v>
      </c>
      <c r="N48" s="22" t="str">
        <f t="shared" si="1"/>
        <v>dcterms:dateCopyrighted</v>
      </c>
      <c r="O48" s="5" t="s">
        <v>510</v>
      </c>
      <c r="P48" s="13"/>
      <c r="Q48" s="14" t="s">
        <v>511</v>
      </c>
      <c r="R48" s="13"/>
      <c r="S48" s="13"/>
      <c r="T48" s="5"/>
      <c r="U48" s="5"/>
      <c r="V48" s="22" t="str">
        <f>HYPERLINK("http://purl.org/dc/terms/dateCopyrighted","dcterms:dateCopyrighted")</f>
        <v>dcterms:dateCopyrighted</v>
      </c>
      <c r="W48" s="5"/>
      <c r="X48" s="5"/>
      <c r="Y48" s="5"/>
      <c r="Z48" s="5"/>
      <c r="AA48" s="14" t="s">
        <v>509</v>
      </c>
      <c r="AB48" s="5"/>
      <c r="AC48" s="10"/>
      <c r="AD48" s="10"/>
      <c r="AE48" s="10"/>
      <c r="AF48" s="10"/>
      <c r="AG48" s="10"/>
      <c r="AH48" s="10"/>
    </row>
    <row r="49" spans="1:34" ht="86.25" customHeight="1">
      <c r="A49" s="14" t="s">
        <v>512</v>
      </c>
      <c r="B49" s="14"/>
      <c r="C49" s="16"/>
      <c r="D49" s="14" t="s">
        <v>513</v>
      </c>
      <c r="E49" s="14" t="s">
        <v>514</v>
      </c>
      <c r="F49" s="14"/>
      <c r="G49" s="14"/>
      <c r="H49" s="14"/>
      <c r="I49" s="5"/>
      <c r="J49" s="5"/>
      <c r="K49" s="5" t="s">
        <v>86</v>
      </c>
      <c r="L49" s="5" t="s">
        <v>515</v>
      </c>
      <c r="M49" s="5"/>
      <c r="N49" s="5"/>
      <c r="O49" s="5"/>
      <c r="P49" s="14"/>
      <c r="Q49" s="30" t="s">
        <v>516</v>
      </c>
      <c r="R49" s="13"/>
      <c r="S49" s="14"/>
      <c r="T49" s="5"/>
      <c r="U49" s="5"/>
      <c r="V49" s="5"/>
      <c r="W49" s="5"/>
      <c r="X49" s="5"/>
      <c r="Y49" s="5"/>
      <c r="Z49" s="5"/>
      <c r="AA49" s="14"/>
      <c r="AB49" s="5"/>
      <c r="AC49" s="10"/>
      <c r="AD49" s="10"/>
      <c r="AE49" s="10"/>
      <c r="AF49" s="10"/>
      <c r="AG49" s="10"/>
      <c r="AH49" s="10"/>
    </row>
    <row r="50" spans="1:34" ht="86.25" customHeight="1">
      <c r="A50" s="14" t="s">
        <v>517</v>
      </c>
      <c r="B50" s="14"/>
      <c r="C50" s="16"/>
      <c r="D50" s="14" t="s">
        <v>518</v>
      </c>
      <c r="E50" s="5" t="s">
        <v>519</v>
      </c>
      <c r="F50" s="14" t="s">
        <v>76</v>
      </c>
      <c r="G50" s="14" t="s">
        <v>517</v>
      </c>
      <c r="H50" s="14"/>
      <c r="I50" s="5"/>
      <c r="J50" s="5"/>
      <c r="K50" s="5" t="s">
        <v>520</v>
      </c>
      <c r="L50" s="5" t="s">
        <v>521</v>
      </c>
      <c r="M50" s="5" t="s">
        <v>522</v>
      </c>
      <c r="N50" s="5" t="s">
        <v>523</v>
      </c>
      <c r="O50" s="5" t="s">
        <v>524</v>
      </c>
      <c r="P50" s="10"/>
      <c r="Q50" s="5" t="s">
        <v>525</v>
      </c>
      <c r="R50" s="5" t="s">
        <v>526</v>
      </c>
      <c r="S50" s="5"/>
      <c r="T50" s="5" t="s">
        <v>527</v>
      </c>
      <c r="U50" s="5" t="s">
        <v>528</v>
      </c>
      <c r="V50" s="26" t="s">
        <v>529</v>
      </c>
      <c r="W50" s="5" t="s">
        <v>530</v>
      </c>
      <c r="X50" s="5"/>
      <c r="Y50" s="25" t="s">
        <v>531</v>
      </c>
      <c r="Z50" s="25"/>
      <c r="AA50" s="5" t="s">
        <v>530</v>
      </c>
      <c r="AB50" s="15" t="s">
        <v>532</v>
      </c>
      <c r="AC50" s="10"/>
      <c r="AD50" s="10"/>
      <c r="AE50" s="10"/>
      <c r="AF50" s="10"/>
      <c r="AG50" s="10"/>
      <c r="AH50" s="10"/>
    </row>
    <row r="51" spans="1:34" ht="86.25" hidden="1" customHeight="1">
      <c r="A51" s="14"/>
      <c r="B51" s="14"/>
      <c r="C51" s="16"/>
      <c r="D51" s="13"/>
      <c r="E51" s="13" t="s">
        <v>533</v>
      </c>
      <c r="F51" s="13" t="s">
        <v>76</v>
      </c>
      <c r="G51" s="14" t="s">
        <v>534</v>
      </c>
      <c r="H51" s="14"/>
      <c r="I51" s="34"/>
      <c r="J51" s="34"/>
      <c r="K51" s="34"/>
      <c r="L51" s="34"/>
      <c r="M51" s="34"/>
      <c r="N51" s="35" t="s">
        <v>535</v>
      </c>
      <c r="O51" s="5" t="s">
        <v>536</v>
      </c>
      <c r="P51" s="13"/>
      <c r="Q51" s="14"/>
      <c r="R51" s="14" t="s">
        <v>526</v>
      </c>
      <c r="S51" s="13"/>
      <c r="T51" s="5"/>
      <c r="U51" s="5" t="s">
        <v>528</v>
      </c>
      <c r="V51" s="5"/>
      <c r="W51" s="5"/>
      <c r="X51" s="5"/>
      <c r="Y51" s="5" t="s">
        <v>537</v>
      </c>
      <c r="Z51" s="5"/>
      <c r="AA51" s="14" t="s">
        <v>538</v>
      </c>
      <c r="AB51" s="15" t="s">
        <v>532</v>
      </c>
      <c r="AC51" s="10"/>
      <c r="AD51" s="10"/>
      <c r="AE51" s="10"/>
      <c r="AF51" s="10"/>
      <c r="AG51" s="10"/>
      <c r="AH51" s="10"/>
    </row>
    <row r="52" spans="1:34" ht="86.25" customHeight="1">
      <c r="A52" s="14" t="s">
        <v>539</v>
      </c>
      <c r="B52" s="14"/>
      <c r="C52" s="16"/>
      <c r="D52" s="14" t="s">
        <v>540</v>
      </c>
      <c r="E52" s="5" t="s">
        <v>541</v>
      </c>
      <c r="F52" s="14" t="s">
        <v>21</v>
      </c>
      <c r="G52" s="14" t="s">
        <v>542</v>
      </c>
      <c r="H52" s="14"/>
      <c r="I52" s="5"/>
      <c r="J52" s="5"/>
      <c r="K52" s="5" t="s">
        <v>543</v>
      </c>
      <c r="L52" s="5" t="s">
        <v>544</v>
      </c>
      <c r="M52" s="5" t="s">
        <v>545</v>
      </c>
      <c r="N52" s="25" t="s">
        <v>546</v>
      </c>
      <c r="O52" s="5" t="s">
        <v>547</v>
      </c>
      <c r="P52" s="25" t="s">
        <v>548</v>
      </c>
      <c r="Q52" s="5" t="s">
        <v>549</v>
      </c>
      <c r="R52" s="5"/>
      <c r="S52" s="5" t="s">
        <v>550</v>
      </c>
      <c r="T52" s="5"/>
      <c r="U52" s="5" t="s">
        <v>551</v>
      </c>
      <c r="V52" s="5" t="s">
        <v>552</v>
      </c>
      <c r="W52" s="5"/>
      <c r="X52" s="5" t="s">
        <v>553</v>
      </c>
      <c r="Y52" s="5" t="s">
        <v>554</v>
      </c>
      <c r="Z52" s="5" t="s">
        <v>555</v>
      </c>
      <c r="AA52" s="5"/>
      <c r="AB52" s="5"/>
      <c r="AC52" s="10"/>
      <c r="AD52" s="10"/>
      <c r="AE52" s="10"/>
      <c r="AF52" s="10"/>
      <c r="AG52" s="10"/>
      <c r="AH52" s="10"/>
    </row>
    <row r="53" spans="1:34" ht="86.25" customHeight="1">
      <c r="A53" s="14" t="s">
        <v>556</v>
      </c>
      <c r="B53" s="13"/>
      <c r="C53" s="13"/>
      <c r="D53" s="14" t="s">
        <v>557</v>
      </c>
      <c r="E53" s="14" t="s">
        <v>514</v>
      </c>
      <c r="F53" s="13"/>
      <c r="G53" s="14"/>
      <c r="H53" s="14"/>
      <c r="I53" s="5"/>
      <c r="J53" s="5"/>
      <c r="K53" s="5" t="s">
        <v>558</v>
      </c>
      <c r="L53" s="5" t="s">
        <v>559</v>
      </c>
      <c r="M53" s="5"/>
      <c r="N53" s="5"/>
      <c r="O53" s="5"/>
      <c r="P53" s="13"/>
      <c r="Q53" s="14" t="s">
        <v>560</v>
      </c>
      <c r="R53" s="13"/>
      <c r="S53" s="13"/>
      <c r="T53" s="5"/>
      <c r="U53" s="5"/>
      <c r="V53" s="5"/>
      <c r="W53" s="5"/>
      <c r="X53" s="5"/>
      <c r="Y53" s="5"/>
      <c r="Z53" s="5"/>
      <c r="AA53" s="14"/>
      <c r="AB53" s="5"/>
      <c r="AC53" s="10"/>
      <c r="AD53" s="10"/>
      <c r="AE53" s="10"/>
      <c r="AF53" s="10"/>
      <c r="AG53" s="10"/>
      <c r="AH53" s="10"/>
    </row>
    <row r="54" spans="1:34" ht="86.25" customHeight="1">
      <c r="A54" s="14" t="s">
        <v>561</v>
      </c>
      <c r="B54" s="13"/>
      <c r="C54" s="13"/>
      <c r="D54" s="14" t="s">
        <v>562</v>
      </c>
      <c r="E54" s="36" t="s">
        <v>563</v>
      </c>
      <c r="F54" s="13" t="s">
        <v>76</v>
      </c>
      <c r="G54" s="14" t="s">
        <v>561</v>
      </c>
      <c r="H54" s="14"/>
      <c r="I54" s="5"/>
      <c r="J54" s="5"/>
      <c r="K54" s="5"/>
      <c r="L54" s="5"/>
      <c r="M54" s="5"/>
      <c r="N54" s="5"/>
      <c r="O54" s="5"/>
      <c r="P54" s="13"/>
      <c r="Q54" s="13"/>
      <c r="R54" s="13"/>
      <c r="S54" s="13"/>
      <c r="T54" s="5"/>
      <c r="U54" s="5"/>
      <c r="V54" s="5"/>
      <c r="W54" s="5"/>
      <c r="X54" s="5"/>
      <c r="Y54" s="5" t="s">
        <v>564</v>
      </c>
      <c r="Z54" s="5"/>
      <c r="AA54" s="14" t="s">
        <v>561</v>
      </c>
      <c r="AB54" s="5"/>
      <c r="AC54" s="10"/>
      <c r="AD54" s="10"/>
      <c r="AE54" s="10"/>
      <c r="AF54" s="10"/>
      <c r="AG54" s="10"/>
      <c r="AH54" s="10"/>
    </row>
    <row r="55" spans="1:34" ht="86.25" customHeight="1">
      <c r="A55" s="11" t="s">
        <v>565</v>
      </c>
      <c r="B55" s="14" t="s">
        <v>349</v>
      </c>
      <c r="C55" s="16" t="s">
        <v>144</v>
      </c>
      <c r="D55" s="14" t="s">
        <v>350</v>
      </c>
      <c r="E55" s="14" t="s">
        <v>566</v>
      </c>
      <c r="F55" s="14" t="s">
        <v>76</v>
      </c>
      <c r="G55" s="14" t="s">
        <v>567</v>
      </c>
      <c r="H55" s="14"/>
      <c r="I55" s="5"/>
      <c r="J55" s="5"/>
      <c r="K55" s="5"/>
      <c r="L55" s="5"/>
      <c r="M55" s="5" t="s">
        <v>568</v>
      </c>
      <c r="N55" s="5" t="s">
        <v>568</v>
      </c>
      <c r="O55" s="5" t="s">
        <v>569</v>
      </c>
      <c r="P55" s="5"/>
      <c r="Q55" s="14" t="s">
        <v>570</v>
      </c>
      <c r="R55" s="14" t="s">
        <v>571</v>
      </c>
      <c r="S55" s="14" t="s">
        <v>572</v>
      </c>
      <c r="T55" s="5" t="s">
        <v>573</v>
      </c>
      <c r="U55" s="5" t="s">
        <v>574</v>
      </c>
      <c r="V55" s="5" t="s">
        <v>575</v>
      </c>
      <c r="W55" s="5" t="s">
        <v>576</v>
      </c>
      <c r="X55" s="5"/>
      <c r="Y55" s="5" t="s">
        <v>577</v>
      </c>
      <c r="Z55" s="5"/>
      <c r="AA55" s="14" t="s">
        <v>567</v>
      </c>
      <c r="AB55" s="15" t="s">
        <v>578</v>
      </c>
      <c r="AC55" s="10"/>
      <c r="AD55" s="10"/>
      <c r="AE55" s="10"/>
      <c r="AF55" s="10"/>
      <c r="AG55" s="10"/>
      <c r="AH55" s="10"/>
    </row>
    <row r="56" spans="1:34" ht="38.25" customHeight="1">
      <c r="A56" s="11" t="s">
        <v>565</v>
      </c>
      <c r="B56" s="11"/>
      <c r="C56" s="12"/>
      <c r="D56" s="14" t="s">
        <v>579</v>
      </c>
      <c r="E56" s="14" t="s">
        <v>580</v>
      </c>
      <c r="F56" s="13" t="s">
        <v>76</v>
      </c>
      <c r="G56" s="13" t="s">
        <v>581</v>
      </c>
      <c r="H56" s="13"/>
      <c r="I56" s="5"/>
      <c r="J56" s="5"/>
      <c r="K56" s="5"/>
      <c r="L56" s="5"/>
      <c r="M56" s="5" t="s">
        <v>582</v>
      </c>
      <c r="N56" s="5" t="s">
        <v>583</v>
      </c>
      <c r="O56" s="5" t="s">
        <v>584</v>
      </c>
      <c r="P56" s="13"/>
      <c r="Q56" s="14" t="s">
        <v>585</v>
      </c>
      <c r="R56" s="14" t="s">
        <v>586</v>
      </c>
      <c r="S56" s="13"/>
      <c r="T56" s="5" t="s">
        <v>587</v>
      </c>
      <c r="U56" s="5" t="s">
        <v>588</v>
      </c>
      <c r="V56" s="26" t="s">
        <v>583</v>
      </c>
      <c r="W56" s="5"/>
      <c r="X56" s="5"/>
      <c r="Y56" s="5" t="s">
        <v>581</v>
      </c>
      <c r="Z56" s="5"/>
      <c r="AA56" s="14" t="s">
        <v>581</v>
      </c>
      <c r="AB56" s="20"/>
      <c r="AC56" s="10"/>
      <c r="AD56" s="10"/>
      <c r="AE56" s="10"/>
      <c r="AF56" s="10"/>
      <c r="AG56" s="10"/>
      <c r="AH56" s="10"/>
    </row>
    <row r="57" spans="1:34" ht="33" customHeight="1">
      <c r="A57" s="11" t="s">
        <v>565</v>
      </c>
      <c r="B57" s="11"/>
      <c r="C57" s="12"/>
      <c r="D57" s="5" t="s">
        <v>589</v>
      </c>
      <c r="E57" s="5" t="s">
        <v>590</v>
      </c>
      <c r="F57" s="5" t="s">
        <v>405</v>
      </c>
      <c r="G57" s="5" t="s">
        <v>591</v>
      </c>
      <c r="H57" s="5"/>
      <c r="I57" s="5"/>
      <c r="J57" s="5"/>
      <c r="K57" s="5"/>
      <c r="L57" s="5"/>
      <c r="M57" s="5"/>
      <c r="N57" s="5" t="s">
        <v>592</v>
      </c>
      <c r="O57" s="5" t="s">
        <v>593</v>
      </c>
      <c r="P57" s="10" t="s">
        <v>289</v>
      </c>
      <c r="Q57" s="5" t="s">
        <v>594</v>
      </c>
      <c r="R57" s="5" t="s">
        <v>595</v>
      </c>
      <c r="S57" s="5"/>
      <c r="T57" s="5" t="s">
        <v>596</v>
      </c>
      <c r="U57" s="5"/>
      <c r="V57" s="26" t="s">
        <v>592</v>
      </c>
      <c r="W57" s="5" t="s">
        <v>597</v>
      </c>
      <c r="X57" s="5"/>
      <c r="Y57" s="5"/>
      <c r="Z57" s="5"/>
      <c r="AA57" s="5"/>
      <c r="AB57" s="5"/>
      <c r="AC57" s="10"/>
      <c r="AD57" s="10"/>
      <c r="AE57" s="10"/>
      <c r="AF57" s="10"/>
      <c r="AG57" s="10"/>
      <c r="AH57" s="10"/>
    </row>
    <row r="58" spans="1:34" ht="36" customHeight="1">
      <c r="A58" s="14" t="s">
        <v>565</v>
      </c>
      <c r="B58" s="14"/>
      <c r="C58" s="16"/>
      <c r="D58" s="14" t="s">
        <v>598</v>
      </c>
      <c r="E58" s="5" t="s">
        <v>599</v>
      </c>
      <c r="F58" s="14" t="s">
        <v>76</v>
      </c>
      <c r="G58" s="14" t="s">
        <v>600</v>
      </c>
      <c r="H58" s="14"/>
      <c r="I58" s="5"/>
      <c r="J58" s="5"/>
      <c r="K58" s="5"/>
      <c r="L58" s="5"/>
      <c r="M58" s="5" t="s">
        <v>601</v>
      </c>
      <c r="N58" s="26" t="s">
        <v>602</v>
      </c>
      <c r="O58" s="5" t="s">
        <v>603</v>
      </c>
      <c r="P58" s="14"/>
      <c r="Q58" s="14" t="s">
        <v>604</v>
      </c>
      <c r="R58" s="13"/>
      <c r="S58" s="14"/>
      <c r="T58" s="5"/>
      <c r="U58" s="5"/>
      <c r="V58" s="5" t="s">
        <v>605</v>
      </c>
      <c r="W58" s="5"/>
      <c r="X58" s="5"/>
      <c r="Y58" s="5" t="s">
        <v>606</v>
      </c>
      <c r="Z58" s="5"/>
      <c r="AA58" s="13"/>
      <c r="AB58" s="5"/>
      <c r="AC58" s="10"/>
      <c r="AD58" s="10"/>
      <c r="AE58" s="10"/>
      <c r="AF58" s="10"/>
      <c r="AG58" s="10"/>
      <c r="AH58" s="10"/>
    </row>
    <row r="59" spans="1:34" ht="40.5" customHeight="1">
      <c r="A59" s="11" t="s">
        <v>565</v>
      </c>
      <c r="B59" s="11"/>
      <c r="C59" s="12"/>
      <c r="D59" s="14" t="s">
        <v>579</v>
      </c>
      <c r="E59" s="14" t="s">
        <v>607</v>
      </c>
      <c r="F59" s="13" t="s">
        <v>76</v>
      </c>
      <c r="G59" s="13" t="s">
        <v>608</v>
      </c>
      <c r="H59" s="13"/>
      <c r="I59" s="5"/>
      <c r="J59" s="5"/>
      <c r="K59" s="5"/>
      <c r="L59" s="5"/>
      <c r="M59" s="5" t="s">
        <v>609</v>
      </c>
      <c r="N59" s="5" t="s">
        <v>592</v>
      </c>
      <c r="O59" s="5" t="s">
        <v>610</v>
      </c>
      <c r="P59" s="13"/>
      <c r="Q59" s="14" t="s">
        <v>611</v>
      </c>
      <c r="R59" s="13" t="s">
        <v>612</v>
      </c>
      <c r="S59" s="13"/>
      <c r="T59" s="5"/>
      <c r="U59" s="5" t="s">
        <v>613</v>
      </c>
      <c r="V59" s="26" t="s">
        <v>592</v>
      </c>
      <c r="W59" s="5"/>
      <c r="X59" s="5"/>
      <c r="Y59" s="5" t="s">
        <v>608</v>
      </c>
      <c r="Z59" s="5"/>
      <c r="AA59" s="14" t="s">
        <v>608</v>
      </c>
      <c r="AB59" s="15" t="s">
        <v>614</v>
      </c>
      <c r="AC59" s="10"/>
      <c r="AD59" s="10"/>
      <c r="AE59" s="10"/>
      <c r="AF59" s="10"/>
      <c r="AG59" s="10"/>
      <c r="AH59" s="10"/>
    </row>
    <row r="60" spans="1:34" ht="44.25" customHeight="1">
      <c r="A60" s="14" t="s">
        <v>565</v>
      </c>
      <c r="B60" s="14"/>
      <c r="C60" s="16"/>
      <c r="D60" s="14" t="s">
        <v>615</v>
      </c>
      <c r="E60" s="5" t="s">
        <v>616</v>
      </c>
      <c r="F60" s="14" t="s">
        <v>76</v>
      </c>
      <c r="G60" s="14" t="s">
        <v>617</v>
      </c>
      <c r="H60" s="14"/>
      <c r="I60" s="5"/>
      <c r="J60" s="5"/>
      <c r="K60" s="5"/>
      <c r="L60" s="5"/>
      <c r="M60" s="5" t="s">
        <v>355</v>
      </c>
      <c r="N60" s="5" t="s">
        <v>355</v>
      </c>
      <c r="O60" s="5" t="s">
        <v>618</v>
      </c>
      <c r="P60" s="14"/>
      <c r="Q60" s="14" t="s">
        <v>358</v>
      </c>
      <c r="R60" s="13"/>
      <c r="S60" s="14"/>
      <c r="T60" s="5"/>
      <c r="U60" s="5"/>
      <c r="V60" s="5" t="s">
        <v>355</v>
      </c>
      <c r="W60" s="5"/>
      <c r="X60" s="5"/>
      <c r="Y60" s="5"/>
      <c r="Z60" s="5"/>
      <c r="AA60" s="13"/>
      <c r="AB60" s="5"/>
      <c r="AC60" s="10"/>
      <c r="AD60" s="10"/>
      <c r="AE60" s="10"/>
      <c r="AF60" s="10"/>
      <c r="AG60" s="10"/>
      <c r="AH60" s="10"/>
    </row>
    <row r="61" spans="1:34" ht="44.25" customHeight="1">
      <c r="A61" s="14" t="s">
        <v>565</v>
      </c>
      <c r="B61" s="13"/>
      <c r="C61" s="13"/>
      <c r="D61" s="14" t="s">
        <v>619</v>
      </c>
      <c r="E61" s="14" t="s">
        <v>620</v>
      </c>
      <c r="F61" s="13"/>
      <c r="G61" s="13"/>
      <c r="H61" s="13"/>
      <c r="I61" s="5"/>
      <c r="J61" s="5"/>
      <c r="K61" s="5"/>
      <c r="L61" s="5"/>
      <c r="M61" s="5" t="s">
        <v>621</v>
      </c>
      <c r="N61" s="5" t="s">
        <v>621</v>
      </c>
      <c r="O61" s="5" t="s">
        <v>622</v>
      </c>
      <c r="P61" s="13"/>
      <c r="Q61" s="14" t="s">
        <v>623</v>
      </c>
      <c r="R61" s="13"/>
      <c r="S61" s="14"/>
      <c r="T61" s="5"/>
      <c r="U61" s="5"/>
      <c r="V61" s="5"/>
      <c r="W61" s="5"/>
      <c r="X61" s="5"/>
      <c r="Y61" s="5" t="s">
        <v>624</v>
      </c>
      <c r="Z61" s="5"/>
      <c r="AA61" s="13"/>
      <c r="AB61" s="5"/>
      <c r="AC61" s="10"/>
      <c r="AD61" s="10"/>
      <c r="AE61" s="10"/>
      <c r="AF61" s="10"/>
      <c r="AG61" s="10"/>
      <c r="AH61" s="10"/>
    </row>
    <row r="62" spans="1:34" ht="32.25" customHeight="1">
      <c r="A62" s="14" t="s">
        <v>565</v>
      </c>
      <c r="B62" s="13"/>
      <c r="C62" s="13"/>
      <c r="D62" s="14" t="s">
        <v>625</v>
      </c>
      <c r="E62" s="14" t="s">
        <v>626</v>
      </c>
      <c r="F62" s="13"/>
      <c r="G62" s="13"/>
      <c r="H62" s="13"/>
      <c r="I62" s="5"/>
      <c r="J62" s="5"/>
      <c r="K62" s="5"/>
      <c r="L62" s="5"/>
      <c r="M62" s="5" t="s">
        <v>627</v>
      </c>
      <c r="N62" s="5" t="s">
        <v>627</v>
      </c>
      <c r="O62" s="5" t="s">
        <v>628</v>
      </c>
      <c r="P62" s="13"/>
      <c r="Q62" s="14" t="s">
        <v>623</v>
      </c>
      <c r="R62" s="13"/>
      <c r="S62" s="14"/>
      <c r="T62" s="5"/>
      <c r="U62" s="5"/>
      <c r="V62" s="5"/>
      <c r="W62" s="5"/>
      <c r="X62" s="5"/>
      <c r="Y62" s="5" t="s">
        <v>629</v>
      </c>
      <c r="Z62" s="5"/>
      <c r="AA62" s="13"/>
      <c r="AB62" s="5"/>
      <c r="AC62" s="10"/>
      <c r="AD62" s="10"/>
      <c r="AE62" s="10"/>
      <c r="AF62" s="10"/>
      <c r="AG62" s="10"/>
      <c r="AH62" s="10"/>
    </row>
    <row r="63" spans="1:34" ht="37.5" customHeight="1">
      <c r="A63" s="2" t="s">
        <v>565</v>
      </c>
      <c r="B63" s="2"/>
      <c r="C63" s="16"/>
      <c r="D63" s="14" t="s">
        <v>630</v>
      </c>
      <c r="E63" s="10" t="s">
        <v>631</v>
      </c>
      <c r="F63" s="14" t="s">
        <v>632</v>
      </c>
      <c r="G63" s="14" t="s">
        <v>633</v>
      </c>
      <c r="H63" s="14"/>
      <c r="I63" s="5"/>
      <c r="J63" s="5"/>
      <c r="K63" s="2"/>
      <c r="L63" s="2"/>
      <c r="M63" s="2"/>
      <c r="N63" s="2"/>
      <c r="O63" s="5" t="s">
        <v>634</v>
      </c>
      <c r="P63" s="2"/>
      <c r="Q63" s="2"/>
      <c r="R63" s="2"/>
      <c r="S63" s="2"/>
      <c r="T63" s="2"/>
      <c r="U63" s="2"/>
      <c r="V63" s="2"/>
      <c r="W63" s="2"/>
      <c r="X63" s="2"/>
      <c r="Y63" s="2"/>
      <c r="Z63" s="2"/>
      <c r="AA63" s="2"/>
      <c r="AB63" s="2"/>
      <c r="AC63" s="10"/>
      <c r="AD63" s="10"/>
      <c r="AE63" s="10"/>
      <c r="AF63" s="10"/>
      <c r="AG63" s="10"/>
      <c r="AH63" s="10"/>
    </row>
    <row r="64" spans="1:34" ht="37.5" customHeight="1">
      <c r="A64" s="5" t="s">
        <v>635</v>
      </c>
      <c r="B64" s="11"/>
      <c r="C64" s="12"/>
      <c r="D64" s="5" t="s">
        <v>636</v>
      </c>
      <c r="E64" s="5" t="s">
        <v>637</v>
      </c>
      <c r="F64" s="5" t="s">
        <v>638</v>
      </c>
      <c r="G64" s="5" t="s">
        <v>635</v>
      </c>
      <c r="H64" s="5"/>
      <c r="I64" s="5"/>
      <c r="J64" s="5"/>
      <c r="K64" s="5"/>
      <c r="L64" s="5"/>
      <c r="M64" s="5"/>
      <c r="N64" s="5"/>
      <c r="O64" s="5"/>
      <c r="P64" s="5"/>
      <c r="Q64" s="25" t="s">
        <v>639</v>
      </c>
      <c r="R64" s="25" t="s">
        <v>640</v>
      </c>
      <c r="S64" s="5"/>
      <c r="T64" s="5"/>
      <c r="U64" s="5"/>
      <c r="V64" s="5"/>
      <c r="W64" s="5" t="s">
        <v>641</v>
      </c>
      <c r="X64" s="5"/>
      <c r="Y64" s="5" t="s">
        <v>642</v>
      </c>
      <c r="Z64" s="5"/>
      <c r="AA64" s="5"/>
      <c r="AB64" s="15" t="s">
        <v>643</v>
      </c>
      <c r="AC64" s="10"/>
      <c r="AD64" s="10"/>
      <c r="AE64" s="10"/>
      <c r="AF64" s="10"/>
      <c r="AG64" s="10"/>
      <c r="AH64" s="10"/>
    </row>
    <row r="65" spans="1:34" ht="37.5" customHeight="1">
      <c r="A65" s="14" t="s">
        <v>644</v>
      </c>
      <c r="B65" s="14" t="s">
        <v>645</v>
      </c>
      <c r="C65" s="16"/>
      <c r="D65" s="13"/>
      <c r="E65" s="13" t="s">
        <v>646</v>
      </c>
      <c r="F65" s="13" t="s">
        <v>76</v>
      </c>
      <c r="G65" s="13" t="s">
        <v>647</v>
      </c>
      <c r="H65" s="13"/>
      <c r="I65" s="5"/>
      <c r="J65" s="5"/>
      <c r="K65" s="5"/>
      <c r="L65" s="5"/>
      <c r="M65" s="5" t="s">
        <v>648</v>
      </c>
      <c r="N65" s="22" t="str">
        <f>HYPERLINK("        http://purl.org/dc/terms/rightsHolder","dcterms:rightsHolder")</f>
        <v>dcterms:rightsHolder</v>
      </c>
      <c r="O65" s="5"/>
      <c r="P65" s="13"/>
      <c r="Q65" s="14" t="s">
        <v>649</v>
      </c>
      <c r="R65" s="13"/>
      <c r="S65" s="13"/>
      <c r="T65" s="5"/>
      <c r="U65" s="5"/>
      <c r="V65" s="22" t="str">
        <f>HYPERLINK("        http://purl.org/dc/terms/rightsHolder","dcterms:rightsHolder")</f>
        <v>dcterms:rightsHolder</v>
      </c>
      <c r="W65" s="5"/>
      <c r="X65" s="5"/>
      <c r="Y65" s="5"/>
      <c r="Z65" s="5"/>
      <c r="AA65" s="14" t="s">
        <v>647</v>
      </c>
      <c r="AB65" s="5"/>
      <c r="AC65" s="10"/>
      <c r="AD65" s="10"/>
      <c r="AE65" s="10"/>
      <c r="AF65" s="10"/>
      <c r="AG65" s="10"/>
      <c r="AH65" s="10"/>
    </row>
    <row r="66" spans="1:34" ht="37.5" customHeight="1">
      <c r="A66" s="14" t="s">
        <v>650</v>
      </c>
      <c r="B66" s="14" t="s">
        <v>645</v>
      </c>
      <c r="C66" s="13"/>
      <c r="D66" s="13"/>
      <c r="E66" s="13" t="s">
        <v>651</v>
      </c>
      <c r="F66" s="13" t="s">
        <v>76</v>
      </c>
      <c r="G66" s="13" t="s">
        <v>652</v>
      </c>
      <c r="H66" s="13"/>
      <c r="I66" s="5"/>
      <c r="J66" s="5"/>
      <c r="K66" s="5"/>
      <c r="L66" s="5"/>
      <c r="M66" s="22" t="str">
        <f t="shared" ref="M66:N66" si="2">HYPERLINK("http://purl.org/dc/terms/contributor","dcterms:contributor")</f>
        <v>dcterms:contributor</v>
      </c>
      <c r="N66" s="22" t="str">
        <f t="shared" si="2"/>
        <v>dcterms:contributor</v>
      </c>
      <c r="O66" s="5" t="s">
        <v>653</v>
      </c>
      <c r="P66" s="13"/>
      <c r="Q66" s="14" t="s">
        <v>654</v>
      </c>
      <c r="R66" s="13"/>
      <c r="S66" s="14" t="s">
        <v>655</v>
      </c>
      <c r="T66" s="5"/>
      <c r="U66" s="5"/>
      <c r="V66" s="22" t="str">
        <f>HYPERLINK("http://purl.org/dc/terms/contributor","dcterms:contributor")</f>
        <v>dcterms:contributor</v>
      </c>
      <c r="W66" s="5"/>
      <c r="X66" s="5"/>
      <c r="Y66" s="5" t="s">
        <v>652</v>
      </c>
      <c r="Z66" s="5"/>
      <c r="AA66" s="14" t="s">
        <v>652</v>
      </c>
      <c r="AB66" s="5"/>
      <c r="AC66" s="10"/>
      <c r="AD66" s="10"/>
      <c r="AE66" s="10"/>
      <c r="AF66" s="10"/>
      <c r="AG66" s="10"/>
      <c r="AH66" s="10"/>
    </row>
    <row r="67" spans="1:34" ht="45.75" customHeight="1">
      <c r="A67" s="14" t="s">
        <v>656</v>
      </c>
      <c r="B67" s="14"/>
      <c r="C67" s="16"/>
      <c r="D67" s="14" t="s">
        <v>657</v>
      </c>
      <c r="E67" s="5" t="s">
        <v>658</v>
      </c>
      <c r="F67" s="14" t="s">
        <v>659</v>
      </c>
      <c r="G67" s="14" t="s">
        <v>660</v>
      </c>
      <c r="H67" s="14"/>
      <c r="I67" s="10"/>
      <c r="J67" s="10"/>
      <c r="K67" s="10"/>
      <c r="L67" s="10"/>
      <c r="M67" s="10" t="s">
        <v>661</v>
      </c>
      <c r="N67" s="10" t="s">
        <v>661</v>
      </c>
      <c r="O67" s="5"/>
      <c r="P67" s="14"/>
      <c r="Q67" s="14" t="s">
        <v>662</v>
      </c>
      <c r="R67" s="14"/>
      <c r="S67" s="14"/>
      <c r="T67" s="5"/>
      <c r="U67" s="5"/>
      <c r="V67" s="10" t="s">
        <v>661</v>
      </c>
      <c r="W67" s="5"/>
      <c r="X67" s="5"/>
      <c r="Y67" s="5"/>
      <c r="Z67" s="5"/>
      <c r="AA67" s="13"/>
      <c r="AB67" s="5"/>
      <c r="AC67" s="10"/>
      <c r="AD67" s="10"/>
      <c r="AE67" s="10"/>
      <c r="AF67" s="10"/>
      <c r="AG67" s="10"/>
      <c r="AH67" s="10"/>
    </row>
    <row r="68" spans="1:34" ht="73.5" customHeight="1">
      <c r="A68" s="14" t="s">
        <v>663</v>
      </c>
      <c r="B68" s="11"/>
      <c r="C68" s="12"/>
      <c r="D68" s="5" t="s">
        <v>664</v>
      </c>
      <c r="E68" s="5" t="s">
        <v>665</v>
      </c>
      <c r="F68" s="5"/>
      <c r="G68" s="5"/>
      <c r="H68" s="5"/>
      <c r="I68" s="5"/>
      <c r="J68" s="5"/>
      <c r="K68" s="5"/>
      <c r="L68" s="5"/>
      <c r="M68" s="5"/>
      <c r="N68" s="5" t="s">
        <v>666</v>
      </c>
      <c r="O68" s="5"/>
      <c r="P68" s="5"/>
      <c r="Q68" s="5"/>
      <c r="R68" s="5"/>
      <c r="S68" s="5"/>
      <c r="T68" s="5"/>
      <c r="U68" s="5"/>
      <c r="V68" s="5"/>
      <c r="W68" s="5"/>
      <c r="X68" s="5"/>
      <c r="Y68" s="5"/>
      <c r="Z68" s="5"/>
      <c r="AA68" s="5"/>
      <c r="AB68" s="15"/>
      <c r="AC68" s="10"/>
      <c r="AD68" s="10"/>
      <c r="AE68" s="10"/>
      <c r="AF68" s="10"/>
      <c r="AG68" s="10"/>
      <c r="AH68" s="10"/>
    </row>
    <row r="69" spans="1:34" ht="102">
      <c r="A69" s="1" t="s">
        <v>667</v>
      </c>
      <c r="B69" s="1" t="s">
        <v>667</v>
      </c>
      <c r="C69" s="5" t="s">
        <v>144</v>
      </c>
      <c r="D69" s="5" t="s">
        <v>668</v>
      </c>
      <c r="E69" s="5" t="s">
        <v>669</v>
      </c>
      <c r="F69" s="5"/>
      <c r="G69" s="5"/>
      <c r="H69" s="5"/>
      <c r="I69" s="5"/>
      <c r="J69" s="5"/>
      <c r="K69" s="5"/>
      <c r="L69" s="5"/>
      <c r="M69" s="5" t="s">
        <v>670</v>
      </c>
      <c r="N69" s="5" t="s">
        <v>671</v>
      </c>
      <c r="P69" s="13"/>
      <c r="Q69" s="14" t="s">
        <v>672</v>
      </c>
      <c r="R69" s="5"/>
      <c r="S69" s="5"/>
      <c r="T69" s="5"/>
      <c r="U69" s="5"/>
      <c r="V69" s="5"/>
      <c r="W69" s="5"/>
      <c r="X69" s="5"/>
      <c r="Z69" s="5"/>
      <c r="AA69" s="13"/>
      <c r="AC69" s="10"/>
      <c r="AD69" s="10"/>
      <c r="AE69" s="10"/>
      <c r="AF69" s="10"/>
      <c r="AG69" s="10"/>
      <c r="AH69" s="10"/>
    </row>
    <row r="70" spans="1:34" ht="51">
      <c r="A70" s="1" t="s">
        <v>667</v>
      </c>
      <c r="B70" s="1" t="s">
        <v>667</v>
      </c>
      <c r="C70" s="5" t="s">
        <v>144</v>
      </c>
      <c r="D70" s="5" t="s">
        <v>673</v>
      </c>
      <c r="E70" s="5" t="s">
        <v>674</v>
      </c>
      <c r="F70" s="5"/>
      <c r="G70" s="5"/>
      <c r="H70" s="5"/>
      <c r="I70" s="5"/>
      <c r="J70" s="5"/>
      <c r="K70" s="5"/>
      <c r="L70" s="5"/>
      <c r="M70" s="5"/>
      <c r="N70" s="5" t="s">
        <v>675</v>
      </c>
      <c r="O70" s="5" t="s">
        <v>603</v>
      </c>
      <c r="P70" s="5"/>
      <c r="Q70" s="14" t="s">
        <v>676</v>
      </c>
      <c r="R70" s="5"/>
      <c r="S70" s="5"/>
      <c r="T70" s="5"/>
      <c r="U70" s="5"/>
      <c r="V70" s="5"/>
      <c r="W70" s="5"/>
      <c r="X70" s="5"/>
      <c r="Y70" s="5" t="s">
        <v>677</v>
      </c>
      <c r="Z70" s="5"/>
      <c r="AA70" s="5"/>
      <c r="AB70" s="5" t="s">
        <v>678</v>
      </c>
      <c r="AC70" s="10"/>
      <c r="AD70" s="10"/>
      <c r="AE70" s="10"/>
      <c r="AF70" s="10"/>
      <c r="AG70" s="10"/>
      <c r="AH70" s="10"/>
    </row>
    <row r="71" spans="1:34" ht="140.25">
      <c r="A71" s="1" t="s">
        <v>679</v>
      </c>
      <c r="B71" s="1" t="s">
        <v>680</v>
      </c>
      <c r="C71" s="5" t="s">
        <v>681</v>
      </c>
      <c r="D71" s="5" t="s">
        <v>682</v>
      </c>
      <c r="E71" s="5" t="s">
        <v>683</v>
      </c>
      <c r="F71" s="5"/>
      <c r="G71" s="5"/>
      <c r="H71" s="5"/>
      <c r="I71" s="5"/>
      <c r="J71" s="5"/>
      <c r="K71" s="5"/>
      <c r="L71" s="5"/>
      <c r="M71" s="5"/>
      <c r="N71" s="5" t="s">
        <v>684</v>
      </c>
      <c r="O71" s="5"/>
      <c r="P71" s="5"/>
      <c r="Q71" s="5"/>
      <c r="R71" s="5"/>
      <c r="S71" s="5"/>
      <c r="T71" s="5"/>
      <c r="U71" s="5"/>
      <c r="V71" s="5"/>
      <c r="W71" s="5"/>
      <c r="X71" s="5"/>
      <c r="Y71" s="5"/>
      <c r="Z71" s="5"/>
      <c r="AA71" s="5"/>
      <c r="AB71" s="5"/>
      <c r="AC71" s="10"/>
      <c r="AD71" s="10"/>
      <c r="AE71" s="10"/>
      <c r="AF71" s="10"/>
      <c r="AG71" s="10"/>
      <c r="AH71" s="10"/>
    </row>
    <row r="72" spans="1:34" ht="89.25">
      <c r="A72" s="1" t="s">
        <v>685</v>
      </c>
      <c r="B72" s="37" t="s">
        <v>686</v>
      </c>
      <c r="C72" s="15" t="s">
        <v>687</v>
      </c>
      <c r="D72" s="38" t="s">
        <v>688</v>
      </c>
      <c r="E72" s="37" t="s">
        <v>689</v>
      </c>
      <c r="F72" s="5"/>
      <c r="G72" s="5"/>
      <c r="H72" s="5"/>
      <c r="I72" s="5"/>
      <c r="J72" s="5"/>
      <c r="K72" s="5"/>
      <c r="L72" s="5"/>
      <c r="M72" s="5"/>
      <c r="N72" s="5" t="s">
        <v>690</v>
      </c>
      <c r="O72" s="5"/>
      <c r="P72" s="5"/>
      <c r="Q72" s="5"/>
      <c r="R72" s="5"/>
      <c r="S72" s="5"/>
      <c r="T72" s="5"/>
      <c r="U72" s="5"/>
      <c r="V72" s="5"/>
      <c r="W72" s="5"/>
      <c r="X72" s="5"/>
      <c r="Y72" s="5"/>
      <c r="Z72" s="5"/>
      <c r="AA72" s="5"/>
      <c r="AB72" s="5"/>
      <c r="AC72" s="10"/>
      <c r="AD72" s="10"/>
      <c r="AE72" s="10"/>
      <c r="AF72" s="10"/>
      <c r="AG72" s="10"/>
      <c r="AH72" s="10"/>
    </row>
    <row r="73" spans="1:34" ht="51">
      <c r="A73" s="1" t="s">
        <v>691</v>
      </c>
      <c r="B73" s="38" t="s">
        <v>692</v>
      </c>
      <c r="C73" s="15" t="s">
        <v>693</v>
      </c>
      <c r="D73" s="38" t="s">
        <v>694</v>
      </c>
      <c r="E73" s="37" t="s">
        <v>695</v>
      </c>
      <c r="F73" s="5"/>
      <c r="G73" s="5"/>
      <c r="H73" s="5"/>
      <c r="I73" s="5"/>
      <c r="J73" s="5"/>
      <c r="K73" s="5"/>
      <c r="L73" s="5"/>
      <c r="M73" s="5"/>
      <c r="N73" s="5" t="s">
        <v>696</v>
      </c>
      <c r="O73" s="5"/>
      <c r="P73" s="5"/>
      <c r="Q73" s="5"/>
      <c r="R73" s="5"/>
      <c r="S73" s="5"/>
      <c r="T73" s="5"/>
      <c r="U73" s="5"/>
      <c r="V73" s="5"/>
      <c r="W73" s="5"/>
      <c r="X73" s="5"/>
      <c r="Y73" s="5"/>
      <c r="Z73" s="5"/>
      <c r="AA73" s="5"/>
      <c r="AB73" s="5"/>
      <c r="AC73" s="10"/>
      <c r="AD73" s="10"/>
      <c r="AE73" s="10"/>
      <c r="AF73" s="10"/>
      <c r="AG73" s="10"/>
      <c r="AH73" s="10"/>
    </row>
    <row r="74" spans="1:34" ht="63.75">
      <c r="A74" s="1" t="s">
        <v>697</v>
      </c>
      <c r="B74" s="38" t="s">
        <v>698</v>
      </c>
      <c r="C74" s="15" t="s">
        <v>699</v>
      </c>
      <c r="D74" s="38" t="s">
        <v>700</v>
      </c>
      <c r="E74" s="37" t="s">
        <v>701</v>
      </c>
      <c r="F74" s="5"/>
      <c r="G74" s="5"/>
      <c r="H74" s="5"/>
      <c r="I74" s="5"/>
      <c r="J74" s="5"/>
      <c r="K74" s="5"/>
      <c r="L74" s="5"/>
      <c r="M74" s="5"/>
      <c r="N74" s="5"/>
      <c r="O74" s="5"/>
      <c r="P74" s="5"/>
      <c r="Q74" s="5"/>
      <c r="R74" s="5"/>
      <c r="S74" s="5"/>
      <c r="T74" s="5"/>
      <c r="U74" s="5"/>
      <c r="V74" s="5"/>
      <c r="W74" s="5"/>
      <c r="X74" s="5"/>
      <c r="Y74" s="5"/>
      <c r="Z74" s="5"/>
      <c r="AA74" s="5"/>
      <c r="AB74" s="5"/>
      <c r="AC74" s="10"/>
      <c r="AD74" s="10"/>
      <c r="AE74" s="10"/>
      <c r="AF74" s="10"/>
      <c r="AG74" s="10"/>
      <c r="AH74" s="10"/>
    </row>
    <row r="75" spans="1:34" ht="51">
      <c r="A75" s="1" t="s">
        <v>702</v>
      </c>
      <c r="B75" s="1"/>
      <c r="C75" s="5"/>
      <c r="D75" s="5" t="s">
        <v>703</v>
      </c>
      <c r="E75" s="5" t="s">
        <v>514</v>
      </c>
      <c r="F75" s="5"/>
      <c r="G75" s="5"/>
      <c r="H75" s="5"/>
      <c r="I75" s="5"/>
      <c r="J75" s="5"/>
      <c r="K75" s="5"/>
      <c r="L75" s="5"/>
      <c r="M75" s="5"/>
      <c r="N75" s="5"/>
      <c r="O75" s="5"/>
      <c r="P75" s="5"/>
      <c r="Q75" s="5"/>
      <c r="R75" s="5"/>
      <c r="S75" s="5"/>
      <c r="T75" s="5"/>
      <c r="U75" s="5"/>
      <c r="V75" s="5"/>
      <c r="W75" s="5"/>
      <c r="X75" s="5"/>
      <c r="Y75" s="5"/>
      <c r="Z75" s="5"/>
      <c r="AA75" s="5"/>
      <c r="AB75" s="5"/>
      <c r="AC75" s="10"/>
      <c r="AD75" s="10"/>
      <c r="AE75" s="10"/>
      <c r="AF75" s="10"/>
      <c r="AG75" s="10"/>
      <c r="AH75" s="10"/>
    </row>
    <row r="76" spans="1:34" ht="63.75">
      <c r="A76" s="1" t="s">
        <v>704</v>
      </c>
      <c r="B76" s="1"/>
      <c r="C76" s="5"/>
      <c r="D76" s="5" t="s">
        <v>705</v>
      </c>
      <c r="E76" s="5" t="s">
        <v>706</v>
      </c>
      <c r="F76" s="5"/>
      <c r="G76" s="5"/>
      <c r="H76" s="5"/>
      <c r="I76" s="5"/>
      <c r="J76" s="5"/>
      <c r="K76" s="5"/>
      <c r="L76" s="5"/>
      <c r="M76" s="5"/>
      <c r="N76" s="5"/>
      <c r="O76" s="5"/>
      <c r="P76" s="5"/>
      <c r="Q76" s="5"/>
      <c r="R76" s="5"/>
      <c r="S76" s="5"/>
      <c r="T76" s="5"/>
      <c r="U76" s="5"/>
      <c r="V76" s="5"/>
      <c r="W76" s="5"/>
      <c r="X76" s="5"/>
      <c r="Y76" s="5"/>
      <c r="Z76" s="5"/>
      <c r="AA76" s="5"/>
      <c r="AB76" s="5"/>
      <c r="AC76" s="10"/>
      <c r="AD76" s="10"/>
      <c r="AE76" s="10"/>
      <c r="AF76" s="10"/>
      <c r="AG76" s="10"/>
      <c r="AH76" s="10"/>
    </row>
    <row r="77" spans="1:34" ht="12.75">
      <c r="A77" s="1"/>
      <c r="B77" s="1"/>
      <c r="C77" s="5"/>
      <c r="D77" s="5"/>
      <c r="E77" s="5"/>
      <c r="F77" s="5"/>
      <c r="G77" s="5"/>
      <c r="H77" s="5"/>
      <c r="I77" s="5"/>
      <c r="J77" s="5"/>
      <c r="K77" s="5"/>
      <c r="L77" s="5"/>
      <c r="M77" s="5"/>
      <c r="N77" s="5"/>
      <c r="O77" s="5"/>
      <c r="P77" s="5"/>
      <c r="Q77" s="5"/>
      <c r="R77" s="5"/>
      <c r="S77" s="5"/>
      <c r="T77" s="5"/>
      <c r="U77" s="5"/>
      <c r="V77" s="5"/>
      <c r="W77" s="5"/>
      <c r="X77" s="5"/>
      <c r="Y77" s="5"/>
      <c r="Z77" s="5"/>
      <c r="AA77" s="5"/>
      <c r="AB77" s="5"/>
      <c r="AC77" s="10"/>
      <c r="AD77" s="10"/>
      <c r="AE77" s="10"/>
      <c r="AF77" s="10"/>
      <c r="AG77" s="10"/>
      <c r="AH77" s="10"/>
    </row>
    <row r="78" spans="1:34" ht="12.75">
      <c r="A78" s="1"/>
      <c r="B78" s="1"/>
      <c r="C78" s="5"/>
      <c r="D78" s="5"/>
      <c r="E78" s="5"/>
      <c r="F78" s="5"/>
      <c r="G78" s="5"/>
      <c r="H78" s="5"/>
      <c r="I78" s="5"/>
      <c r="J78" s="5"/>
      <c r="K78" s="5"/>
      <c r="L78" s="5"/>
      <c r="M78" s="5"/>
      <c r="N78" s="5"/>
      <c r="O78" s="5"/>
      <c r="P78" s="5"/>
      <c r="Q78" s="5"/>
      <c r="R78" s="5"/>
      <c r="S78" s="5"/>
      <c r="T78" s="5"/>
      <c r="U78" s="5"/>
      <c r="V78" s="5"/>
      <c r="W78" s="5"/>
      <c r="X78" s="5"/>
      <c r="Y78" s="5"/>
      <c r="Z78" s="5"/>
      <c r="AA78" s="5"/>
      <c r="AB78" s="5"/>
      <c r="AC78" s="10"/>
      <c r="AD78" s="10"/>
      <c r="AE78" s="10"/>
      <c r="AF78" s="10"/>
      <c r="AG78" s="10"/>
      <c r="AH78" s="10"/>
    </row>
    <row r="79" spans="1:34" ht="12.75">
      <c r="A79" s="1"/>
      <c r="B79" s="1"/>
      <c r="C79" s="5"/>
      <c r="D79" s="5"/>
      <c r="E79" s="5"/>
      <c r="F79" s="5"/>
      <c r="G79" s="5"/>
      <c r="H79" s="5"/>
      <c r="I79" s="5"/>
      <c r="J79" s="5"/>
      <c r="K79" s="5"/>
      <c r="L79" s="5"/>
      <c r="M79" s="5"/>
      <c r="N79" s="5"/>
      <c r="O79" s="5"/>
      <c r="P79" s="5"/>
      <c r="Q79" s="5"/>
      <c r="R79" s="5"/>
      <c r="S79" s="5"/>
      <c r="T79" s="5"/>
      <c r="U79" s="5"/>
      <c r="V79" s="5"/>
      <c r="W79" s="5"/>
      <c r="X79" s="5"/>
      <c r="Y79" s="5"/>
      <c r="Z79" s="5"/>
      <c r="AA79" s="5"/>
      <c r="AB79" s="5"/>
      <c r="AC79" s="10"/>
      <c r="AD79" s="10"/>
      <c r="AE79" s="10"/>
      <c r="AF79" s="10"/>
      <c r="AG79" s="10"/>
      <c r="AH79" s="10"/>
    </row>
    <row r="80" spans="1:34" ht="12.75">
      <c r="A80" s="1"/>
      <c r="B80" s="1"/>
      <c r="C80" s="5"/>
      <c r="D80" s="5"/>
      <c r="E80" s="5"/>
      <c r="F80" s="5"/>
      <c r="G80" s="5"/>
      <c r="H80" s="5"/>
      <c r="I80" s="5"/>
      <c r="J80" s="5"/>
      <c r="K80" s="5"/>
      <c r="L80" s="5"/>
      <c r="M80" s="5"/>
      <c r="N80" s="5"/>
      <c r="O80" s="5"/>
      <c r="P80" s="5"/>
      <c r="Q80" s="5"/>
      <c r="R80" s="5"/>
      <c r="S80" s="5"/>
      <c r="T80" s="5"/>
      <c r="U80" s="5"/>
      <c r="V80" s="5"/>
      <c r="W80" s="5"/>
      <c r="X80" s="5"/>
      <c r="Y80" s="5"/>
      <c r="Z80" s="5"/>
      <c r="AA80" s="5"/>
      <c r="AB80" s="5"/>
      <c r="AC80" s="10"/>
      <c r="AD80" s="10"/>
      <c r="AE80" s="10"/>
      <c r="AF80" s="10"/>
      <c r="AG80" s="10"/>
      <c r="AH80" s="10"/>
    </row>
    <row r="81" spans="1:34" ht="12.75">
      <c r="A81" s="1"/>
      <c r="B81" s="1"/>
      <c r="C81" s="5"/>
      <c r="D81" s="5"/>
      <c r="E81" s="5"/>
      <c r="F81" s="5"/>
      <c r="G81" s="5"/>
      <c r="H81" s="5"/>
      <c r="I81" s="5"/>
      <c r="J81" s="5"/>
      <c r="K81" s="5"/>
      <c r="L81" s="5"/>
      <c r="M81" s="5"/>
      <c r="N81" s="5"/>
      <c r="O81" s="5"/>
      <c r="P81" s="5"/>
      <c r="Q81" s="5"/>
      <c r="R81" s="5"/>
      <c r="S81" s="5"/>
      <c r="T81" s="5"/>
      <c r="U81" s="5"/>
      <c r="V81" s="5"/>
      <c r="W81" s="5"/>
      <c r="X81" s="5"/>
      <c r="Y81" s="5"/>
      <c r="Z81" s="5"/>
      <c r="AA81" s="5"/>
      <c r="AB81" s="5"/>
      <c r="AC81" s="10"/>
      <c r="AD81" s="10"/>
      <c r="AE81" s="10"/>
      <c r="AF81" s="10"/>
      <c r="AG81" s="10"/>
      <c r="AH81" s="10"/>
    </row>
    <row r="82" spans="1:34" ht="12.75">
      <c r="A82" s="1"/>
      <c r="B82" s="1"/>
      <c r="C82" s="5"/>
      <c r="D82" s="5"/>
      <c r="E82" s="5"/>
      <c r="F82" s="5"/>
      <c r="G82" s="5"/>
      <c r="H82" s="5"/>
      <c r="I82" s="5"/>
      <c r="J82" s="5"/>
      <c r="K82" s="5"/>
      <c r="L82" s="5"/>
      <c r="M82" s="5"/>
      <c r="N82" s="5"/>
      <c r="O82" s="5"/>
      <c r="P82" s="5"/>
      <c r="Q82" s="5"/>
      <c r="R82" s="5"/>
      <c r="S82" s="5"/>
      <c r="T82" s="5"/>
      <c r="U82" s="5"/>
      <c r="V82" s="5"/>
      <c r="W82" s="5"/>
      <c r="X82" s="5"/>
      <c r="Y82" s="5"/>
      <c r="Z82" s="5"/>
      <c r="AA82" s="5"/>
      <c r="AB82" s="5"/>
      <c r="AC82" s="10"/>
      <c r="AD82" s="10"/>
      <c r="AE82" s="10"/>
      <c r="AF82" s="10"/>
      <c r="AG82" s="10"/>
      <c r="AH82" s="10"/>
    </row>
    <row r="83" spans="1:34" ht="12.75">
      <c r="A83" s="1"/>
      <c r="B83" s="1"/>
      <c r="C83" s="5"/>
      <c r="D83" s="5"/>
      <c r="E83" s="5"/>
      <c r="F83" s="5"/>
      <c r="G83" s="5"/>
      <c r="H83" s="5"/>
      <c r="I83" s="5"/>
      <c r="J83" s="5"/>
      <c r="K83" s="5"/>
      <c r="L83" s="5"/>
      <c r="M83" s="5"/>
      <c r="N83" s="5"/>
      <c r="O83" s="5"/>
      <c r="P83" s="5"/>
      <c r="Q83" s="5"/>
      <c r="R83" s="5"/>
      <c r="S83" s="5"/>
      <c r="T83" s="5"/>
      <c r="U83" s="5"/>
      <c r="V83" s="5"/>
      <c r="W83" s="5"/>
      <c r="X83" s="5"/>
      <c r="Y83" s="5"/>
      <c r="Z83" s="5"/>
      <c r="AA83" s="5"/>
      <c r="AB83" s="5"/>
      <c r="AC83" s="10"/>
      <c r="AD83" s="10"/>
      <c r="AE83" s="10"/>
      <c r="AF83" s="10"/>
      <c r="AG83" s="10"/>
      <c r="AH83" s="10"/>
    </row>
    <row r="84" spans="1:34" ht="12.75">
      <c r="A84" s="1"/>
      <c r="B84" s="1"/>
      <c r="C84" s="5"/>
      <c r="D84" s="5"/>
      <c r="E84" s="5"/>
      <c r="F84" s="5"/>
      <c r="G84" s="5"/>
      <c r="H84" s="5"/>
      <c r="I84" s="5"/>
      <c r="J84" s="5"/>
      <c r="K84" s="5"/>
      <c r="L84" s="5"/>
      <c r="M84" s="5"/>
      <c r="N84" s="5"/>
      <c r="O84" s="5"/>
      <c r="P84" s="5"/>
      <c r="Q84" s="5"/>
      <c r="R84" s="5"/>
      <c r="S84" s="5"/>
      <c r="T84" s="5"/>
      <c r="U84" s="5"/>
      <c r="V84" s="5"/>
      <c r="W84" s="5"/>
      <c r="X84" s="5"/>
      <c r="Y84" s="5"/>
      <c r="Z84" s="5"/>
      <c r="AA84" s="5"/>
      <c r="AB84" s="5"/>
      <c r="AC84" s="10"/>
      <c r="AD84" s="10"/>
      <c r="AE84" s="10"/>
      <c r="AF84" s="10"/>
      <c r="AG84" s="10"/>
      <c r="AH84" s="10"/>
    </row>
    <row r="85" spans="1:34" ht="12.75">
      <c r="A85" s="1"/>
      <c r="B85" s="1"/>
      <c r="C85" s="5"/>
      <c r="D85" s="5"/>
      <c r="E85" s="5"/>
      <c r="F85" s="5"/>
      <c r="G85" s="5"/>
      <c r="H85" s="5"/>
      <c r="I85" s="5"/>
      <c r="J85" s="5"/>
      <c r="K85" s="5"/>
      <c r="L85" s="5"/>
      <c r="M85" s="5"/>
      <c r="N85" s="5"/>
      <c r="O85" s="5"/>
      <c r="P85" s="5"/>
      <c r="Q85" s="5"/>
      <c r="R85" s="5"/>
      <c r="S85" s="5"/>
      <c r="T85" s="5"/>
      <c r="U85" s="5"/>
      <c r="V85" s="5"/>
      <c r="W85" s="5"/>
      <c r="X85" s="5"/>
      <c r="Y85" s="5"/>
      <c r="Z85" s="5"/>
      <c r="AA85" s="5"/>
      <c r="AB85" s="5"/>
      <c r="AC85" s="10"/>
      <c r="AD85" s="10"/>
      <c r="AE85" s="10"/>
      <c r="AF85" s="10"/>
      <c r="AG85" s="10"/>
      <c r="AH85" s="10"/>
    </row>
    <row r="86" spans="1:34" ht="12.75">
      <c r="A86" s="1"/>
      <c r="B86" s="1"/>
      <c r="C86" s="5"/>
      <c r="D86" s="5"/>
      <c r="E86" s="5"/>
      <c r="F86" s="5"/>
      <c r="G86" s="5"/>
      <c r="H86" s="5"/>
      <c r="I86" s="5"/>
      <c r="J86" s="5"/>
      <c r="K86" s="5"/>
      <c r="L86" s="5"/>
      <c r="M86" s="5"/>
      <c r="N86" s="5"/>
      <c r="O86" s="5"/>
      <c r="P86" s="5"/>
      <c r="Q86" s="5"/>
      <c r="R86" s="5"/>
      <c r="S86" s="5"/>
      <c r="T86" s="5"/>
      <c r="U86" s="5"/>
      <c r="V86" s="5"/>
      <c r="W86" s="5"/>
      <c r="X86" s="5"/>
      <c r="Y86" s="5"/>
      <c r="Z86" s="5"/>
      <c r="AA86" s="5"/>
      <c r="AB86" s="5"/>
      <c r="AC86" s="10"/>
      <c r="AD86" s="10"/>
      <c r="AE86" s="10"/>
      <c r="AF86" s="10"/>
      <c r="AG86" s="10"/>
      <c r="AH86" s="10"/>
    </row>
    <row r="87" spans="1:34" ht="12.75">
      <c r="A87" s="1"/>
      <c r="B87" s="1"/>
      <c r="C87" s="5"/>
      <c r="D87" s="5"/>
      <c r="E87" s="5"/>
      <c r="F87" s="5"/>
      <c r="G87" s="5"/>
      <c r="H87" s="5"/>
      <c r="I87" s="5"/>
      <c r="J87" s="5"/>
      <c r="K87" s="5"/>
      <c r="L87" s="5"/>
      <c r="M87" s="5"/>
      <c r="N87" s="5"/>
      <c r="O87" s="5"/>
      <c r="P87" s="5"/>
      <c r="Q87" s="5"/>
      <c r="R87" s="5"/>
      <c r="S87" s="5"/>
      <c r="T87" s="5"/>
      <c r="U87" s="5"/>
      <c r="V87" s="5"/>
      <c r="W87" s="5"/>
      <c r="X87" s="5"/>
      <c r="Y87" s="5"/>
      <c r="Z87" s="5"/>
      <c r="AA87" s="5"/>
      <c r="AB87" s="5"/>
      <c r="AC87" s="10"/>
      <c r="AD87" s="10"/>
      <c r="AE87" s="10"/>
      <c r="AF87" s="10"/>
      <c r="AG87" s="10"/>
      <c r="AH87" s="10"/>
    </row>
    <row r="88" spans="1:34" ht="12.75">
      <c r="A88" s="1"/>
      <c r="B88" s="1"/>
      <c r="C88" s="5"/>
      <c r="D88" s="5"/>
      <c r="E88" s="5"/>
      <c r="F88" s="5"/>
      <c r="G88" s="5"/>
      <c r="H88" s="5"/>
      <c r="I88" s="5"/>
      <c r="J88" s="5"/>
      <c r="K88" s="5"/>
      <c r="L88" s="5"/>
      <c r="M88" s="5"/>
      <c r="N88" s="5"/>
      <c r="O88" s="5"/>
      <c r="P88" s="5"/>
      <c r="Q88" s="5"/>
      <c r="R88" s="5"/>
      <c r="S88" s="5"/>
      <c r="T88" s="5"/>
      <c r="U88" s="5"/>
      <c r="V88" s="5"/>
      <c r="W88" s="5"/>
      <c r="X88" s="5"/>
      <c r="Y88" s="5"/>
      <c r="Z88" s="5"/>
      <c r="AA88" s="5"/>
      <c r="AB88" s="5"/>
      <c r="AC88" s="10"/>
      <c r="AD88" s="10"/>
      <c r="AE88" s="10"/>
      <c r="AF88" s="10"/>
      <c r="AG88" s="10"/>
      <c r="AH88" s="10"/>
    </row>
    <row r="89" spans="1:34" ht="12.75">
      <c r="A89" s="1"/>
      <c r="B89" s="1"/>
      <c r="C89" s="5"/>
      <c r="D89" s="5"/>
      <c r="E89" s="5"/>
      <c r="F89" s="5"/>
      <c r="G89" s="5"/>
      <c r="H89" s="5"/>
      <c r="I89" s="5"/>
      <c r="J89" s="5"/>
      <c r="K89" s="5"/>
      <c r="L89" s="5"/>
      <c r="M89" s="5"/>
      <c r="N89" s="5"/>
      <c r="O89" s="5"/>
      <c r="P89" s="5"/>
      <c r="Q89" s="5"/>
      <c r="R89" s="5"/>
      <c r="S89" s="5"/>
      <c r="T89" s="5"/>
      <c r="U89" s="5"/>
      <c r="V89" s="5"/>
      <c r="W89" s="5"/>
      <c r="X89" s="5"/>
      <c r="Y89" s="5"/>
      <c r="Z89" s="5"/>
      <c r="AA89" s="5"/>
      <c r="AB89" s="5"/>
      <c r="AC89" s="10"/>
      <c r="AD89" s="10"/>
      <c r="AE89" s="10"/>
      <c r="AF89" s="10"/>
      <c r="AG89" s="10"/>
      <c r="AH89" s="10"/>
    </row>
    <row r="90" spans="1:34" ht="12.75">
      <c r="A90" s="1"/>
      <c r="B90" s="1"/>
      <c r="C90" s="5"/>
      <c r="D90" s="5"/>
      <c r="E90" s="5"/>
      <c r="F90" s="5"/>
      <c r="G90" s="5"/>
      <c r="H90" s="5"/>
      <c r="I90" s="5"/>
      <c r="J90" s="5"/>
      <c r="K90" s="5"/>
      <c r="L90" s="5"/>
      <c r="M90" s="5"/>
      <c r="N90" s="5"/>
      <c r="O90" s="5"/>
      <c r="P90" s="5"/>
      <c r="Q90" s="5"/>
      <c r="R90" s="5"/>
      <c r="S90" s="5"/>
      <c r="T90" s="5"/>
      <c r="U90" s="5"/>
      <c r="V90" s="5"/>
      <c r="W90" s="5"/>
      <c r="X90" s="5"/>
      <c r="Y90" s="5"/>
      <c r="Z90" s="5"/>
      <c r="AA90" s="5"/>
      <c r="AB90" s="5"/>
      <c r="AC90" s="10"/>
      <c r="AD90" s="10"/>
      <c r="AE90" s="10"/>
      <c r="AF90" s="10"/>
      <c r="AG90" s="10"/>
      <c r="AH90" s="10"/>
    </row>
    <row r="91" spans="1:34" ht="12.75">
      <c r="A91" s="1"/>
      <c r="B91" s="1"/>
      <c r="C91" s="5"/>
      <c r="D91" s="5"/>
      <c r="E91" s="5"/>
      <c r="F91" s="5"/>
      <c r="G91" s="5"/>
      <c r="H91" s="5"/>
      <c r="I91" s="5"/>
      <c r="J91" s="5"/>
      <c r="K91" s="5"/>
      <c r="L91" s="5"/>
      <c r="M91" s="5"/>
      <c r="N91" s="5"/>
      <c r="O91" s="5"/>
      <c r="P91" s="5"/>
      <c r="Q91" s="5"/>
      <c r="R91" s="5"/>
      <c r="S91" s="5"/>
      <c r="T91" s="5"/>
      <c r="U91" s="5"/>
      <c r="V91" s="5"/>
      <c r="W91" s="5"/>
      <c r="X91" s="5"/>
      <c r="Y91" s="5"/>
      <c r="Z91" s="5"/>
      <c r="AA91" s="5"/>
      <c r="AB91" s="5"/>
      <c r="AC91" s="10"/>
      <c r="AD91" s="10"/>
      <c r="AE91" s="10"/>
      <c r="AF91" s="10"/>
      <c r="AG91" s="10"/>
      <c r="AH91" s="10"/>
    </row>
    <row r="92" spans="1:34" ht="12.75">
      <c r="A92" s="1"/>
      <c r="B92" s="1"/>
      <c r="C92" s="5"/>
      <c r="D92" s="5"/>
      <c r="E92" s="5"/>
      <c r="F92" s="5"/>
      <c r="G92" s="5"/>
      <c r="H92" s="5"/>
      <c r="I92" s="5"/>
      <c r="J92" s="5"/>
      <c r="K92" s="5"/>
      <c r="L92" s="5"/>
      <c r="M92" s="5"/>
      <c r="N92" s="5"/>
      <c r="O92" s="5"/>
      <c r="P92" s="5"/>
      <c r="Q92" s="5"/>
      <c r="R92" s="5"/>
      <c r="S92" s="5"/>
      <c r="T92" s="5"/>
      <c r="U92" s="5"/>
      <c r="V92" s="5"/>
      <c r="W92" s="5"/>
      <c r="X92" s="5"/>
      <c r="Y92" s="5"/>
      <c r="Z92" s="5"/>
      <c r="AA92" s="5"/>
      <c r="AB92" s="5"/>
      <c r="AC92" s="10"/>
      <c r="AD92" s="10"/>
      <c r="AE92" s="10"/>
      <c r="AF92" s="10"/>
      <c r="AG92" s="10"/>
      <c r="AH92" s="10"/>
    </row>
    <row r="93" spans="1:34" ht="12.75">
      <c r="A93" s="1"/>
      <c r="B93" s="1"/>
      <c r="C93" s="5"/>
      <c r="D93" s="5"/>
      <c r="E93" s="5"/>
      <c r="F93" s="5"/>
      <c r="G93" s="5"/>
      <c r="H93" s="5"/>
      <c r="I93" s="5"/>
      <c r="J93" s="5"/>
      <c r="K93" s="5"/>
      <c r="L93" s="5"/>
      <c r="M93" s="5"/>
      <c r="N93" s="5"/>
      <c r="O93" s="5"/>
      <c r="P93" s="5"/>
      <c r="Q93" s="5"/>
      <c r="R93" s="5"/>
      <c r="S93" s="5"/>
      <c r="T93" s="5"/>
      <c r="U93" s="5"/>
      <c r="V93" s="5"/>
      <c r="W93" s="5"/>
      <c r="X93" s="5"/>
      <c r="Y93" s="5"/>
      <c r="Z93" s="5"/>
      <c r="AA93" s="5"/>
      <c r="AB93" s="5"/>
      <c r="AC93" s="10"/>
      <c r="AD93" s="10"/>
      <c r="AE93" s="10"/>
      <c r="AF93" s="10"/>
      <c r="AG93" s="10"/>
      <c r="AH93" s="10"/>
    </row>
    <row r="94" spans="1:34" ht="12.75">
      <c r="A94" s="1"/>
      <c r="B94" s="1"/>
      <c r="C94" s="5"/>
      <c r="D94" s="5"/>
      <c r="E94" s="5"/>
      <c r="F94" s="5"/>
      <c r="G94" s="5"/>
      <c r="H94" s="5"/>
      <c r="I94" s="5"/>
      <c r="J94" s="5"/>
      <c r="K94" s="5"/>
      <c r="L94" s="5"/>
      <c r="M94" s="5"/>
      <c r="N94" s="5"/>
      <c r="O94" s="5"/>
      <c r="P94" s="5"/>
      <c r="Q94" s="5"/>
      <c r="R94" s="5"/>
      <c r="S94" s="5"/>
      <c r="T94" s="5"/>
      <c r="U94" s="5"/>
      <c r="V94" s="5"/>
      <c r="W94" s="5"/>
      <c r="X94" s="5"/>
      <c r="Y94" s="5"/>
      <c r="Z94" s="5"/>
      <c r="AA94" s="5"/>
      <c r="AB94" s="5"/>
      <c r="AC94" s="10"/>
      <c r="AD94" s="10"/>
      <c r="AE94" s="10"/>
      <c r="AF94" s="10"/>
      <c r="AG94" s="10"/>
      <c r="AH94" s="10"/>
    </row>
    <row r="95" spans="1:34" ht="12.75">
      <c r="A95" s="1"/>
      <c r="B95" s="1"/>
      <c r="C95" s="5"/>
      <c r="D95" s="5"/>
      <c r="E95" s="5"/>
      <c r="F95" s="5"/>
      <c r="G95" s="5"/>
      <c r="H95" s="5"/>
      <c r="I95" s="5"/>
      <c r="J95" s="5"/>
      <c r="K95" s="5"/>
      <c r="L95" s="5"/>
      <c r="M95" s="5"/>
      <c r="N95" s="5"/>
      <c r="O95" s="5"/>
      <c r="P95" s="5"/>
      <c r="Q95" s="5"/>
      <c r="R95" s="5"/>
      <c r="S95" s="5"/>
      <c r="T95" s="5"/>
      <c r="U95" s="5"/>
      <c r="V95" s="5"/>
      <c r="W95" s="5"/>
      <c r="X95" s="5"/>
      <c r="Y95" s="5"/>
      <c r="Z95" s="5"/>
      <c r="AA95" s="5"/>
      <c r="AB95" s="5"/>
      <c r="AC95" s="10"/>
      <c r="AD95" s="10"/>
      <c r="AE95" s="10"/>
      <c r="AF95" s="10"/>
      <c r="AG95" s="10"/>
      <c r="AH95" s="10"/>
    </row>
    <row r="96" spans="1:34" ht="12.75">
      <c r="A96" s="1"/>
      <c r="B96" s="1"/>
      <c r="C96" s="5"/>
      <c r="D96" s="5"/>
      <c r="E96" s="5"/>
      <c r="F96" s="5"/>
      <c r="G96" s="5"/>
      <c r="H96" s="5"/>
      <c r="I96" s="5"/>
      <c r="J96" s="5"/>
      <c r="K96" s="5"/>
      <c r="L96" s="5"/>
      <c r="M96" s="5"/>
      <c r="N96" s="5"/>
      <c r="O96" s="5"/>
      <c r="P96" s="5"/>
      <c r="Q96" s="5"/>
      <c r="R96" s="5"/>
      <c r="S96" s="5"/>
      <c r="T96" s="5"/>
      <c r="U96" s="5"/>
      <c r="V96" s="5"/>
      <c r="W96" s="5"/>
      <c r="X96" s="5"/>
      <c r="Y96" s="5"/>
      <c r="Z96" s="5"/>
      <c r="AA96" s="5"/>
      <c r="AB96" s="5"/>
      <c r="AC96" s="10"/>
      <c r="AD96" s="10"/>
      <c r="AE96" s="10"/>
      <c r="AF96" s="10"/>
      <c r="AG96" s="10"/>
      <c r="AH96" s="10"/>
    </row>
    <row r="97" spans="1:34" ht="12.75">
      <c r="A97" s="1"/>
      <c r="B97" s="1"/>
      <c r="C97" s="5"/>
      <c r="D97" s="5"/>
      <c r="E97" s="5"/>
      <c r="F97" s="5"/>
      <c r="G97" s="5"/>
      <c r="H97" s="5"/>
      <c r="I97" s="5"/>
      <c r="J97" s="5"/>
      <c r="K97" s="5"/>
      <c r="L97" s="5"/>
      <c r="M97" s="5"/>
      <c r="N97" s="5"/>
      <c r="O97" s="5"/>
      <c r="P97" s="5"/>
      <c r="Q97" s="5"/>
      <c r="R97" s="5"/>
      <c r="S97" s="5"/>
      <c r="T97" s="5"/>
      <c r="U97" s="5"/>
      <c r="V97" s="5"/>
      <c r="W97" s="5"/>
      <c r="X97" s="5"/>
      <c r="Y97" s="5"/>
      <c r="Z97" s="5"/>
      <c r="AA97" s="5"/>
      <c r="AB97" s="5"/>
      <c r="AC97" s="10"/>
      <c r="AD97" s="10"/>
      <c r="AE97" s="10"/>
      <c r="AF97" s="10"/>
      <c r="AG97" s="10"/>
      <c r="AH97" s="10"/>
    </row>
    <row r="98" spans="1:34" ht="12.75">
      <c r="A98" s="1"/>
      <c r="B98" s="1"/>
      <c r="C98" s="5"/>
      <c r="D98" s="5"/>
      <c r="E98" s="5"/>
      <c r="F98" s="5"/>
      <c r="G98" s="5"/>
      <c r="H98" s="5"/>
      <c r="I98" s="5"/>
      <c r="J98" s="5"/>
      <c r="K98" s="5"/>
      <c r="L98" s="5"/>
      <c r="M98" s="5"/>
      <c r="N98" s="5"/>
      <c r="O98" s="5"/>
      <c r="P98" s="5"/>
      <c r="Q98" s="5"/>
      <c r="R98" s="5"/>
      <c r="S98" s="5"/>
      <c r="T98" s="5"/>
      <c r="U98" s="5"/>
      <c r="V98" s="5"/>
      <c r="W98" s="5"/>
      <c r="X98" s="5"/>
      <c r="Y98" s="5"/>
      <c r="Z98" s="5"/>
      <c r="AA98" s="5"/>
      <c r="AB98" s="5"/>
      <c r="AC98" s="10"/>
      <c r="AD98" s="10"/>
      <c r="AE98" s="10"/>
      <c r="AF98" s="10"/>
      <c r="AG98" s="10"/>
      <c r="AH98" s="10"/>
    </row>
    <row r="99" spans="1:34" ht="12.75">
      <c r="A99" s="1"/>
      <c r="B99" s="1"/>
      <c r="C99" s="5"/>
      <c r="D99" s="5"/>
      <c r="E99" s="5"/>
      <c r="F99" s="5"/>
      <c r="G99" s="5"/>
      <c r="H99" s="5"/>
      <c r="I99" s="5"/>
      <c r="J99" s="5"/>
      <c r="K99" s="5"/>
      <c r="L99" s="5"/>
      <c r="M99" s="5"/>
      <c r="N99" s="5"/>
      <c r="O99" s="5"/>
      <c r="P99" s="5"/>
      <c r="Q99" s="5"/>
      <c r="R99" s="5"/>
      <c r="S99" s="5"/>
      <c r="T99" s="5"/>
      <c r="U99" s="5"/>
      <c r="V99" s="5"/>
      <c r="W99" s="5"/>
      <c r="X99" s="5"/>
      <c r="Y99" s="5"/>
      <c r="Z99" s="5"/>
      <c r="AA99" s="5"/>
      <c r="AB99" s="5"/>
      <c r="AC99" s="10"/>
      <c r="AD99" s="10"/>
      <c r="AE99" s="10"/>
      <c r="AF99" s="10"/>
      <c r="AG99" s="10"/>
      <c r="AH99" s="10"/>
    </row>
    <row r="100" spans="1:34" ht="12.75">
      <c r="A100" s="1"/>
      <c r="B100" s="1"/>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10"/>
      <c r="AD100" s="10"/>
      <c r="AE100" s="10"/>
      <c r="AF100" s="10"/>
      <c r="AG100" s="10"/>
      <c r="AH100" s="10"/>
    </row>
    <row r="101" spans="1:34" ht="12.75">
      <c r="A101" s="1"/>
      <c r="B101" s="1"/>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10"/>
      <c r="AD101" s="10"/>
      <c r="AE101" s="10"/>
      <c r="AF101" s="10"/>
      <c r="AG101" s="10"/>
      <c r="AH101" s="10"/>
    </row>
    <row r="102" spans="1:34" ht="12.75">
      <c r="A102" s="1"/>
      <c r="B102" s="1"/>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10"/>
      <c r="AD102" s="10"/>
      <c r="AE102" s="10"/>
      <c r="AF102" s="10"/>
      <c r="AG102" s="10"/>
      <c r="AH102" s="10"/>
    </row>
    <row r="103" spans="1:34" ht="12.75">
      <c r="A103" s="1"/>
      <c r="B103" s="1"/>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10"/>
      <c r="AD103" s="10"/>
      <c r="AE103" s="10"/>
      <c r="AF103" s="10"/>
      <c r="AG103" s="10"/>
      <c r="AH103" s="10"/>
    </row>
    <row r="104" spans="1:34" ht="12.75">
      <c r="A104" s="1"/>
      <c r="B104" s="1"/>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10"/>
      <c r="AD104" s="10"/>
      <c r="AE104" s="10"/>
      <c r="AF104" s="10"/>
      <c r="AG104" s="10"/>
      <c r="AH104" s="10"/>
    </row>
    <row r="105" spans="1:34" ht="12.75">
      <c r="A105" s="1"/>
      <c r="B105" s="1"/>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10"/>
      <c r="AD105" s="10"/>
      <c r="AE105" s="10"/>
      <c r="AF105" s="10"/>
      <c r="AG105" s="10"/>
      <c r="AH105" s="10"/>
    </row>
    <row r="106" spans="1:34" ht="12.75">
      <c r="A106" s="1"/>
      <c r="B106" s="1"/>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10"/>
      <c r="AD106" s="10"/>
      <c r="AE106" s="10"/>
      <c r="AF106" s="10"/>
      <c r="AG106" s="10"/>
      <c r="AH106" s="10"/>
    </row>
    <row r="107" spans="1:34" ht="12.75">
      <c r="A107" s="1"/>
      <c r="B107" s="1"/>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10"/>
      <c r="AD107" s="10"/>
      <c r="AE107" s="10"/>
      <c r="AF107" s="10"/>
      <c r="AG107" s="10"/>
      <c r="AH107" s="10"/>
    </row>
    <row r="108" spans="1:34" ht="12.75">
      <c r="A108" s="1"/>
      <c r="B108" s="1"/>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10"/>
      <c r="AD108" s="10"/>
      <c r="AE108" s="10"/>
      <c r="AF108" s="10"/>
      <c r="AG108" s="10"/>
      <c r="AH108" s="10"/>
    </row>
    <row r="109" spans="1:34" ht="12.75">
      <c r="A109" s="1"/>
      <c r="B109" s="1"/>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10"/>
      <c r="AD109" s="10"/>
      <c r="AE109" s="10"/>
      <c r="AF109" s="10"/>
      <c r="AG109" s="10"/>
      <c r="AH109" s="10"/>
    </row>
    <row r="110" spans="1:34" ht="12.75">
      <c r="A110" s="1"/>
      <c r="B110" s="1"/>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10"/>
      <c r="AD110" s="10"/>
      <c r="AE110" s="10"/>
      <c r="AF110" s="10"/>
      <c r="AG110" s="10"/>
      <c r="AH110" s="10"/>
    </row>
    <row r="111" spans="1:34" ht="12.75">
      <c r="A111" s="1"/>
      <c r="B111" s="1"/>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10"/>
      <c r="AD111" s="10"/>
      <c r="AE111" s="10"/>
      <c r="AF111" s="10"/>
      <c r="AG111" s="10"/>
      <c r="AH111" s="10"/>
    </row>
    <row r="112" spans="1:34" ht="12.75">
      <c r="A112" s="1"/>
      <c r="B112" s="1"/>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10"/>
      <c r="AD112" s="10"/>
      <c r="AE112" s="10"/>
      <c r="AF112" s="10"/>
      <c r="AG112" s="10"/>
      <c r="AH112" s="10"/>
    </row>
    <row r="113" spans="1:34" ht="12.75">
      <c r="A113" s="1"/>
      <c r="B113" s="1"/>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10"/>
      <c r="AD113" s="10"/>
      <c r="AE113" s="10"/>
      <c r="AF113" s="10"/>
      <c r="AG113" s="10"/>
      <c r="AH113" s="10"/>
    </row>
    <row r="114" spans="1:34" ht="12.75">
      <c r="A114" s="1"/>
      <c r="B114" s="1"/>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10"/>
      <c r="AD114" s="10"/>
      <c r="AE114" s="10"/>
      <c r="AF114" s="10"/>
      <c r="AG114" s="10"/>
      <c r="AH114" s="10"/>
    </row>
    <row r="115" spans="1:34" ht="12.75">
      <c r="A115" s="1"/>
      <c r="B115" s="1"/>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10"/>
      <c r="AD115" s="10"/>
      <c r="AE115" s="10"/>
      <c r="AF115" s="10"/>
      <c r="AG115" s="10"/>
      <c r="AH115" s="10"/>
    </row>
    <row r="116" spans="1:34" ht="12.75">
      <c r="A116" s="1"/>
      <c r="B116" s="1"/>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10"/>
      <c r="AD116" s="10"/>
      <c r="AE116" s="10"/>
      <c r="AF116" s="10"/>
      <c r="AG116" s="10"/>
      <c r="AH116" s="10"/>
    </row>
    <row r="117" spans="1:34" ht="12.75">
      <c r="A117" s="1"/>
      <c r="B117" s="1"/>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10"/>
      <c r="AD117" s="10"/>
      <c r="AE117" s="10"/>
      <c r="AF117" s="10"/>
      <c r="AG117" s="10"/>
      <c r="AH117" s="10"/>
    </row>
    <row r="118" spans="1:34" ht="12.75">
      <c r="A118" s="1"/>
      <c r="B118" s="1"/>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10"/>
      <c r="AD118" s="10"/>
      <c r="AE118" s="10"/>
      <c r="AF118" s="10"/>
      <c r="AG118" s="10"/>
      <c r="AH118" s="10"/>
    </row>
    <row r="119" spans="1:34" ht="12.75">
      <c r="A119" s="1"/>
      <c r="B119" s="1"/>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10"/>
      <c r="AD119" s="10"/>
      <c r="AE119" s="10"/>
      <c r="AF119" s="10"/>
      <c r="AG119" s="10"/>
      <c r="AH119" s="10"/>
    </row>
    <row r="120" spans="1:34" ht="12.75">
      <c r="A120" s="1"/>
      <c r="B120" s="1"/>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10"/>
      <c r="AD120" s="10"/>
      <c r="AE120" s="10"/>
      <c r="AF120" s="10"/>
      <c r="AG120" s="10"/>
      <c r="AH120" s="10"/>
    </row>
    <row r="121" spans="1:34" ht="12.75">
      <c r="A121" s="1"/>
      <c r="B121" s="1"/>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10"/>
      <c r="AD121" s="10"/>
      <c r="AE121" s="10"/>
      <c r="AF121" s="10"/>
      <c r="AG121" s="10"/>
      <c r="AH121" s="10"/>
    </row>
    <row r="122" spans="1:34" ht="12.75">
      <c r="A122" s="1"/>
      <c r="B122" s="1"/>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10"/>
      <c r="AD122" s="10"/>
      <c r="AE122" s="10"/>
      <c r="AF122" s="10"/>
      <c r="AG122" s="10"/>
      <c r="AH122" s="10"/>
    </row>
    <row r="123" spans="1:34" ht="12.75">
      <c r="A123" s="1"/>
      <c r="B123" s="1"/>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10"/>
      <c r="AD123" s="10"/>
      <c r="AE123" s="10"/>
      <c r="AF123" s="10"/>
      <c r="AG123" s="10"/>
      <c r="AH123" s="10"/>
    </row>
    <row r="124" spans="1:34" ht="12.75">
      <c r="A124" s="1"/>
      <c r="B124" s="1"/>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10"/>
      <c r="AD124" s="10"/>
      <c r="AE124" s="10"/>
      <c r="AF124" s="10"/>
      <c r="AG124" s="10"/>
      <c r="AH124" s="10"/>
    </row>
    <row r="125" spans="1:34" ht="12.75">
      <c r="A125" s="1"/>
      <c r="B125" s="1"/>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10"/>
      <c r="AD125" s="10"/>
      <c r="AE125" s="10"/>
      <c r="AF125" s="10"/>
      <c r="AG125" s="10"/>
      <c r="AH125" s="10"/>
    </row>
    <row r="126" spans="1:34" ht="12.75">
      <c r="A126" s="1"/>
      <c r="B126" s="1"/>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10"/>
      <c r="AD126" s="10"/>
      <c r="AE126" s="10"/>
      <c r="AF126" s="10"/>
      <c r="AG126" s="10"/>
      <c r="AH126" s="10"/>
    </row>
    <row r="127" spans="1:34" ht="12.75">
      <c r="A127" s="1"/>
      <c r="B127" s="1"/>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10"/>
      <c r="AD127" s="10"/>
      <c r="AE127" s="10"/>
      <c r="AF127" s="10"/>
      <c r="AG127" s="10"/>
      <c r="AH127" s="10"/>
    </row>
    <row r="128" spans="1:34" ht="12.75">
      <c r="A128" s="1"/>
      <c r="B128" s="1"/>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10"/>
      <c r="AD128" s="10"/>
      <c r="AE128" s="10"/>
      <c r="AF128" s="10"/>
      <c r="AG128" s="10"/>
      <c r="AH128" s="10"/>
    </row>
    <row r="129" spans="1:34" ht="12.75">
      <c r="A129" s="1"/>
      <c r="B129" s="1"/>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10"/>
      <c r="AD129" s="10"/>
      <c r="AE129" s="10"/>
      <c r="AF129" s="10"/>
      <c r="AG129" s="10"/>
      <c r="AH129" s="10"/>
    </row>
    <row r="130" spans="1:34" ht="12.75">
      <c r="A130" s="1"/>
      <c r="B130" s="1"/>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10"/>
      <c r="AD130" s="10"/>
      <c r="AE130" s="10"/>
      <c r="AF130" s="10"/>
      <c r="AG130" s="10"/>
      <c r="AH130" s="10"/>
    </row>
    <row r="131" spans="1:34" ht="12.75">
      <c r="A131" s="1"/>
      <c r="B131" s="1"/>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10"/>
      <c r="AD131" s="10"/>
      <c r="AE131" s="10"/>
      <c r="AF131" s="10"/>
      <c r="AG131" s="10"/>
      <c r="AH131" s="10"/>
    </row>
    <row r="132" spans="1:34" ht="12.75">
      <c r="A132" s="1"/>
      <c r="B132" s="1"/>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10"/>
      <c r="AD132" s="10"/>
      <c r="AE132" s="10"/>
      <c r="AF132" s="10"/>
      <c r="AG132" s="10"/>
      <c r="AH132" s="10"/>
    </row>
    <row r="133" spans="1:34" ht="12.75">
      <c r="A133" s="1"/>
      <c r="B133" s="1"/>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10"/>
      <c r="AD133" s="10"/>
      <c r="AE133" s="10"/>
      <c r="AF133" s="10"/>
      <c r="AG133" s="10"/>
      <c r="AH133" s="10"/>
    </row>
    <row r="134" spans="1:34" ht="12.75">
      <c r="A134" s="1"/>
      <c r="B134" s="1"/>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10"/>
      <c r="AD134" s="10"/>
      <c r="AE134" s="10"/>
      <c r="AF134" s="10"/>
      <c r="AG134" s="10"/>
      <c r="AH134" s="10"/>
    </row>
    <row r="135" spans="1:34" ht="12.75">
      <c r="A135" s="1"/>
      <c r="B135" s="1"/>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10"/>
      <c r="AD135" s="10"/>
      <c r="AE135" s="10"/>
      <c r="AF135" s="10"/>
      <c r="AG135" s="10"/>
      <c r="AH135" s="10"/>
    </row>
    <row r="136" spans="1:34" ht="12.75">
      <c r="A136" s="1"/>
      <c r="B136" s="1"/>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10"/>
      <c r="AD136" s="10"/>
      <c r="AE136" s="10"/>
      <c r="AF136" s="10"/>
      <c r="AG136" s="10"/>
      <c r="AH136" s="10"/>
    </row>
    <row r="137" spans="1:34" ht="12.75">
      <c r="A137" s="1"/>
      <c r="B137" s="1"/>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10"/>
      <c r="AD137" s="10"/>
      <c r="AE137" s="10"/>
      <c r="AF137" s="10"/>
      <c r="AG137" s="10"/>
      <c r="AH137" s="10"/>
    </row>
    <row r="138" spans="1:34" ht="12.75">
      <c r="A138" s="1"/>
      <c r="B138" s="1"/>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10"/>
      <c r="AD138" s="10"/>
      <c r="AE138" s="10"/>
      <c r="AF138" s="10"/>
      <c r="AG138" s="10"/>
      <c r="AH138" s="10"/>
    </row>
    <row r="139" spans="1:34" ht="12.75">
      <c r="A139" s="1"/>
      <c r="B139" s="1"/>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10"/>
      <c r="AD139" s="10"/>
      <c r="AE139" s="10"/>
      <c r="AF139" s="10"/>
      <c r="AG139" s="10"/>
      <c r="AH139" s="10"/>
    </row>
    <row r="140" spans="1:34" ht="12.75">
      <c r="A140" s="1"/>
      <c r="B140" s="1"/>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10"/>
      <c r="AD140" s="10"/>
      <c r="AE140" s="10"/>
      <c r="AF140" s="10"/>
      <c r="AG140" s="10"/>
      <c r="AH140" s="10"/>
    </row>
    <row r="141" spans="1:34" ht="12.75">
      <c r="A141" s="1"/>
      <c r="B141" s="1"/>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10"/>
      <c r="AD141" s="10"/>
      <c r="AE141" s="10"/>
      <c r="AF141" s="10"/>
      <c r="AG141" s="10"/>
      <c r="AH141" s="10"/>
    </row>
    <row r="142" spans="1:34" ht="12.75">
      <c r="A142" s="1"/>
      <c r="B142" s="1"/>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10"/>
      <c r="AD142" s="10"/>
      <c r="AE142" s="10"/>
      <c r="AF142" s="10"/>
      <c r="AG142" s="10"/>
      <c r="AH142" s="10"/>
    </row>
    <row r="143" spans="1:34" ht="12.75">
      <c r="A143" s="1"/>
      <c r="B143" s="1"/>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10"/>
      <c r="AD143" s="10"/>
      <c r="AE143" s="10"/>
      <c r="AF143" s="10"/>
      <c r="AG143" s="10"/>
      <c r="AH143" s="10"/>
    </row>
    <row r="144" spans="1:34" ht="12.75">
      <c r="A144" s="1"/>
      <c r="B144" s="1"/>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10"/>
      <c r="AD144" s="10"/>
      <c r="AE144" s="10"/>
      <c r="AF144" s="10"/>
      <c r="AG144" s="10"/>
      <c r="AH144" s="10"/>
    </row>
    <row r="145" spans="1:34" ht="12.75">
      <c r="A145" s="1"/>
      <c r="B145" s="1"/>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10"/>
      <c r="AD145" s="10"/>
      <c r="AE145" s="10"/>
      <c r="AF145" s="10"/>
      <c r="AG145" s="10"/>
      <c r="AH145" s="10"/>
    </row>
    <row r="146" spans="1:34" ht="12.75">
      <c r="A146" s="1"/>
      <c r="B146" s="1"/>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10"/>
      <c r="AD146" s="10"/>
      <c r="AE146" s="10"/>
      <c r="AF146" s="10"/>
      <c r="AG146" s="10"/>
      <c r="AH146" s="10"/>
    </row>
    <row r="147" spans="1:34" ht="12.75">
      <c r="A147" s="1"/>
      <c r="B147" s="1"/>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10"/>
      <c r="AD147" s="10"/>
      <c r="AE147" s="10"/>
      <c r="AF147" s="10"/>
      <c r="AG147" s="10"/>
      <c r="AH147" s="10"/>
    </row>
    <row r="148" spans="1:34" ht="12.75">
      <c r="A148" s="1"/>
      <c r="B148" s="1"/>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10"/>
      <c r="AD148" s="10"/>
      <c r="AE148" s="10"/>
      <c r="AF148" s="10"/>
      <c r="AG148" s="10"/>
      <c r="AH148" s="10"/>
    </row>
    <row r="149" spans="1:34" ht="12.75">
      <c r="A149" s="1"/>
      <c r="B149" s="1"/>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10"/>
      <c r="AD149" s="10"/>
      <c r="AE149" s="10"/>
      <c r="AF149" s="10"/>
      <c r="AG149" s="10"/>
      <c r="AH149" s="10"/>
    </row>
    <row r="150" spans="1:34" ht="12.75">
      <c r="A150" s="1"/>
      <c r="B150" s="1"/>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10"/>
      <c r="AD150" s="10"/>
      <c r="AE150" s="10"/>
      <c r="AF150" s="10"/>
      <c r="AG150" s="10"/>
      <c r="AH150" s="10"/>
    </row>
    <row r="151" spans="1:34" ht="12.75">
      <c r="A151" s="1"/>
      <c r="B151" s="1"/>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10"/>
      <c r="AD151" s="10"/>
      <c r="AE151" s="10"/>
      <c r="AF151" s="10"/>
      <c r="AG151" s="10"/>
      <c r="AH151" s="10"/>
    </row>
    <row r="152" spans="1:34" ht="12.75">
      <c r="A152" s="1"/>
      <c r="B152" s="1"/>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10"/>
      <c r="AD152" s="10"/>
      <c r="AE152" s="10"/>
      <c r="AF152" s="10"/>
      <c r="AG152" s="10"/>
      <c r="AH152" s="10"/>
    </row>
    <row r="153" spans="1:34" ht="12.75">
      <c r="A153" s="1"/>
      <c r="B153" s="1"/>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10"/>
      <c r="AD153" s="10"/>
      <c r="AE153" s="10"/>
      <c r="AF153" s="10"/>
      <c r="AG153" s="10"/>
      <c r="AH153" s="10"/>
    </row>
    <row r="154" spans="1:34" ht="12.75">
      <c r="A154" s="1"/>
      <c r="B154" s="1"/>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10"/>
      <c r="AD154" s="10"/>
      <c r="AE154" s="10"/>
      <c r="AF154" s="10"/>
      <c r="AG154" s="10"/>
      <c r="AH154" s="10"/>
    </row>
    <row r="155" spans="1:34" ht="12.75">
      <c r="A155" s="1"/>
      <c r="B155" s="1"/>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10"/>
      <c r="AD155" s="10"/>
      <c r="AE155" s="10"/>
      <c r="AF155" s="10"/>
      <c r="AG155" s="10"/>
      <c r="AH155" s="10"/>
    </row>
    <row r="156" spans="1:34" ht="12.75">
      <c r="A156" s="1"/>
      <c r="B156" s="1"/>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10"/>
      <c r="AD156" s="10"/>
      <c r="AE156" s="10"/>
      <c r="AF156" s="10"/>
      <c r="AG156" s="10"/>
      <c r="AH156" s="10"/>
    </row>
    <row r="157" spans="1:34" ht="12.75">
      <c r="A157" s="1"/>
      <c r="B157" s="1"/>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10"/>
      <c r="AD157" s="10"/>
      <c r="AE157" s="10"/>
      <c r="AF157" s="10"/>
      <c r="AG157" s="10"/>
      <c r="AH157" s="10"/>
    </row>
    <row r="158" spans="1:34" ht="12.75">
      <c r="A158" s="1"/>
      <c r="B158" s="1"/>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10"/>
      <c r="AD158" s="10"/>
      <c r="AE158" s="10"/>
      <c r="AF158" s="10"/>
      <c r="AG158" s="10"/>
      <c r="AH158" s="10"/>
    </row>
    <row r="159" spans="1:34" ht="12.75">
      <c r="A159" s="1"/>
      <c r="B159" s="1"/>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10"/>
      <c r="AD159" s="10"/>
      <c r="AE159" s="10"/>
      <c r="AF159" s="10"/>
      <c r="AG159" s="10"/>
      <c r="AH159" s="10"/>
    </row>
    <row r="160" spans="1:34" ht="12.75">
      <c r="A160" s="1"/>
      <c r="B160" s="1"/>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10"/>
      <c r="AD160" s="10"/>
      <c r="AE160" s="10"/>
      <c r="AF160" s="10"/>
      <c r="AG160" s="10"/>
      <c r="AH160" s="10"/>
    </row>
    <row r="161" spans="1:34" ht="12.75">
      <c r="A161" s="1"/>
      <c r="B161" s="1"/>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10"/>
      <c r="AD161" s="10"/>
      <c r="AE161" s="10"/>
      <c r="AF161" s="10"/>
      <c r="AG161" s="10"/>
      <c r="AH161" s="10"/>
    </row>
    <row r="162" spans="1:34" ht="12.75">
      <c r="A162" s="1"/>
      <c r="B162" s="1"/>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10"/>
      <c r="AD162" s="10"/>
      <c r="AE162" s="10"/>
      <c r="AF162" s="10"/>
      <c r="AG162" s="10"/>
      <c r="AH162" s="10"/>
    </row>
    <row r="163" spans="1:34" ht="12.75">
      <c r="A163" s="1"/>
      <c r="B163" s="1"/>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10"/>
      <c r="AD163" s="10"/>
      <c r="AE163" s="10"/>
      <c r="AF163" s="10"/>
      <c r="AG163" s="10"/>
      <c r="AH163" s="10"/>
    </row>
    <row r="164" spans="1:34" ht="12.75">
      <c r="A164" s="1"/>
      <c r="B164" s="1"/>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10"/>
      <c r="AD164" s="10"/>
      <c r="AE164" s="10"/>
      <c r="AF164" s="10"/>
      <c r="AG164" s="10"/>
      <c r="AH164" s="10"/>
    </row>
    <row r="165" spans="1:34" ht="12.75">
      <c r="A165" s="1"/>
      <c r="B165" s="1"/>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10"/>
      <c r="AD165" s="10"/>
      <c r="AE165" s="10"/>
      <c r="AF165" s="10"/>
      <c r="AG165" s="10"/>
      <c r="AH165" s="10"/>
    </row>
    <row r="166" spans="1:34" ht="12.75">
      <c r="A166" s="1"/>
      <c r="B166" s="1"/>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10"/>
      <c r="AD166" s="10"/>
      <c r="AE166" s="10"/>
      <c r="AF166" s="10"/>
      <c r="AG166" s="10"/>
      <c r="AH166" s="10"/>
    </row>
    <row r="167" spans="1:34" ht="12.75">
      <c r="A167" s="1"/>
      <c r="B167" s="1"/>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10"/>
      <c r="AD167" s="10"/>
      <c r="AE167" s="10"/>
      <c r="AF167" s="10"/>
      <c r="AG167" s="10"/>
      <c r="AH167" s="10"/>
    </row>
    <row r="168" spans="1:34" ht="12.75">
      <c r="A168" s="1"/>
      <c r="B168" s="1"/>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10"/>
      <c r="AD168" s="10"/>
      <c r="AE168" s="10"/>
      <c r="AF168" s="10"/>
      <c r="AG168" s="10"/>
      <c r="AH168" s="10"/>
    </row>
    <row r="169" spans="1:34" ht="12.75">
      <c r="A169" s="1"/>
      <c r="B169" s="1"/>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10"/>
      <c r="AD169" s="10"/>
      <c r="AE169" s="10"/>
      <c r="AF169" s="10"/>
      <c r="AG169" s="10"/>
      <c r="AH169" s="10"/>
    </row>
    <row r="170" spans="1:34" ht="12.75">
      <c r="A170" s="1"/>
      <c r="B170" s="1"/>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10"/>
      <c r="AD170" s="10"/>
      <c r="AE170" s="10"/>
      <c r="AF170" s="10"/>
      <c r="AG170" s="10"/>
      <c r="AH170" s="10"/>
    </row>
    <row r="171" spans="1:34" ht="12.75">
      <c r="A171" s="1"/>
      <c r="B171" s="1"/>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10"/>
      <c r="AD171" s="10"/>
      <c r="AE171" s="10"/>
      <c r="AF171" s="10"/>
      <c r="AG171" s="10"/>
      <c r="AH171" s="10"/>
    </row>
    <row r="172" spans="1:34" ht="12.75">
      <c r="A172" s="1"/>
      <c r="B172" s="1"/>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10"/>
      <c r="AD172" s="10"/>
      <c r="AE172" s="10"/>
      <c r="AF172" s="10"/>
      <c r="AG172" s="10"/>
      <c r="AH172" s="10"/>
    </row>
    <row r="173" spans="1:34" ht="12.75">
      <c r="A173" s="1"/>
      <c r="B173" s="1"/>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10"/>
      <c r="AD173" s="10"/>
      <c r="AE173" s="10"/>
      <c r="AF173" s="10"/>
      <c r="AG173" s="10"/>
      <c r="AH173" s="10"/>
    </row>
    <row r="174" spans="1:34" ht="12.75">
      <c r="A174" s="1"/>
      <c r="B174" s="1"/>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10"/>
      <c r="AD174" s="10"/>
      <c r="AE174" s="10"/>
      <c r="AF174" s="10"/>
      <c r="AG174" s="10"/>
      <c r="AH174" s="10"/>
    </row>
    <row r="175" spans="1:34" ht="12.75">
      <c r="A175" s="1"/>
      <c r="B175" s="1"/>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10"/>
      <c r="AD175" s="10"/>
      <c r="AE175" s="10"/>
      <c r="AF175" s="10"/>
      <c r="AG175" s="10"/>
      <c r="AH175" s="10"/>
    </row>
    <row r="176" spans="1:34" ht="12.75">
      <c r="A176" s="1"/>
      <c r="B176" s="1"/>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10"/>
      <c r="AD176" s="10"/>
      <c r="AE176" s="10"/>
      <c r="AF176" s="10"/>
      <c r="AG176" s="10"/>
      <c r="AH176" s="10"/>
    </row>
    <row r="177" spans="1:34" ht="12.75">
      <c r="A177" s="1"/>
      <c r="B177" s="1"/>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10"/>
      <c r="AD177" s="10"/>
      <c r="AE177" s="10"/>
      <c r="AF177" s="10"/>
      <c r="AG177" s="10"/>
      <c r="AH177" s="10"/>
    </row>
    <row r="178" spans="1:34" ht="12.75">
      <c r="A178" s="1"/>
      <c r="B178" s="1"/>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10"/>
      <c r="AD178" s="10"/>
      <c r="AE178" s="10"/>
      <c r="AF178" s="10"/>
      <c r="AG178" s="10"/>
      <c r="AH178" s="10"/>
    </row>
    <row r="179" spans="1:34" ht="12.75">
      <c r="A179" s="1"/>
      <c r="B179" s="1"/>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10"/>
      <c r="AD179" s="10"/>
      <c r="AE179" s="10"/>
      <c r="AF179" s="10"/>
      <c r="AG179" s="10"/>
      <c r="AH179" s="10"/>
    </row>
    <row r="180" spans="1:34" ht="12.75">
      <c r="A180" s="1"/>
      <c r="B180" s="1"/>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10"/>
      <c r="AD180" s="10"/>
      <c r="AE180" s="10"/>
      <c r="AF180" s="10"/>
      <c r="AG180" s="10"/>
      <c r="AH180" s="10"/>
    </row>
    <row r="181" spans="1:34" ht="12.75">
      <c r="A181" s="1"/>
      <c r="B181" s="1"/>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10"/>
      <c r="AD181" s="10"/>
      <c r="AE181" s="10"/>
      <c r="AF181" s="10"/>
      <c r="AG181" s="10"/>
      <c r="AH181" s="10"/>
    </row>
    <row r="182" spans="1:34" ht="12.75">
      <c r="A182" s="1"/>
      <c r="B182" s="1"/>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10"/>
      <c r="AD182" s="10"/>
      <c r="AE182" s="10"/>
      <c r="AF182" s="10"/>
      <c r="AG182" s="10"/>
      <c r="AH182" s="10"/>
    </row>
    <row r="183" spans="1:34" ht="12.75">
      <c r="A183" s="1"/>
      <c r="B183" s="1"/>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10"/>
      <c r="AD183" s="10"/>
      <c r="AE183" s="10"/>
      <c r="AF183" s="10"/>
      <c r="AG183" s="10"/>
      <c r="AH183" s="10"/>
    </row>
    <row r="184" spans="1:34" ht="12.75">
      <c r="A184" s="1"/>
      <c r="B184" s="1"/>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10"/>
      <c r="AD184" s="10"/>
      <c r="AE184" s="10"/>
      <c r="AF184" s="10"/>
      <c r="AG184" s="10"/>
      <c r="AH184" s="10"/>
    </row>
    <row r="185" spans="1:34" ht="12.75">
      <c r="A185" s="1"/>
      <c r="B185" s="1"/>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10"/>
      <c r="AD185" s="10"/>
      <c r="AE185" s="10"/>
      <c r="AF185" s="10"/>
      <c r="AG185" s="10"/>
      <c r="AH185" s="10"/>
    </row>
    <row r="186" spans="1:34" ht="12.75">
      <c r="A186" s="1"/>
      <c r="B186" s="1"/>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10"/>
      <c r="AD186" s="10"/>
      <c r="AE186" s="10"/>
      <c r="AF186" s="10"/>
      <c r="AG186" s="10"/>
      <c r="AH186" s="10"/>
    </row>
    <row r="187" spans="1:34" ht="12.75">
      <c r="A187" s="1"/>
      <c r="B187" s="1"/>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10"/>
      <c r="AD187" s="10"/>
      <c r="AE187" s="10"/>
      <c r="AF187" s="10"/>
      <c r="AG187" s="10"/>
      <c r="AH187" s="10"/>
    </row>
    <row r="188" spans="1:34" ht="12.75">
      <c r="A188" s="1"/>
      <c r="B188" s="1"/>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10"/>
      <c r="AD188" s="10"/>
      <c r="AE188" s="10"/>
      <c r="AF188" s="10"/>
      <c r="AG188" s="10"/>
      <c r="AH188" s="10"/>
    </row>
    <row r="189" spans="1:34" ht="12.75">
      <c r="A189" s="1"/>
      <c r="B189" s="1"/>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10"/>
      <c r="AD189" s="10"/>
      <c r="AE189" s="10"/>
      <c r="AF189" s="10"/>
      <c r="AG189" s="10"/>
      <c r="AH189" s="10"/>
    </row>
    <row r="190" spans="1:34" ht="12.75">
      <c r="A190" s="1"/>
      <c r="B190" s="1"/>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10"/>
      <c r="AD190" s="10"/>
      <c r="AE190" s="10"/>
      <c r="AF190" s="10"/>
      <c r="AG190" s="10"/>
      <c r="AH190" s="10"/>
    </row>
    <row r="191" spans="1:34" ht="12.75">
      <c r="A191" s="1"/>
      <c r="B191" s="1"/>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10"/>
      <c r="AD191" s="10"/>
      <c r="AE191" s="10"/>
      <c r="AF191" s="10"/>
      <c r="AG191" s="10"/>
      <c r="AH191" s="10"/>
    </row>
    <row r="192" spans="1:34" ht="12.75">
      <c r="A192" s="1"/>
      <c r="B192" s="1"/>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10"/>
      <c r="AD192" s="10"/>
      <c r="AE192" s="10"/>
      <c r="AF192" s="10"/>
      <c r="AG192" s="10"/>
      <c r="AH192" s="10"/>
    </row>
    <row r="193" spans="1:34" ht="12.75">
      <c r="A193" s="1"/>
      <c r="B193" s="1"/>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10"/>
      <c r="AD193" s="10"/>
      <c r="AE193" s="10"/>
      <c r="AF193" s="10"/>
      <c r="AG193" s="10"/>
      <c r="AH193" s="10"/>
    </row>
    <row r="194" spans="1:34" ht="12.75">
      <c r="A194" s="1"/>
      <c r="B194" s="1"/>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10"/>
      <c r="AD194" s="10"/>
      <c r="AE194" s="10"/>
      <c r="AF194" s="10"/>
      <c r="AG194" s="10"/>
      <c r="AH194" s="10"/>
    </row>
    <row r="195" spans="1:34" ht="12.75">
      <c r="A195" s="1"/>
      <c r="B195" s="1"/>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10"/>
      <c r="AD195" s="10"/>
      <c r="AE195" s="10"/>
      <c r="AF195" s="10"/>
      <c r="AG195" s="10"/>
      <c r="AH195" s="10"/>
    </row>
    <row r="196" spans="1:34" ht="12.75">
      <c r="A196" s="1"/>
      <c r="B196" s="1"/>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10"/>
      <c r="AD196" s="10"/>
      <c r="AE196" s="10"/>
      <c r="AF196" s="10"/>
      <c r="AG196" s="10"/>
      <c r="AH196" s="10"/>
    </row>
    <row r="197" spans="1:34" ht="12.75">
      <c r="A197" s="1"/>
      <c r="B197" s="1"/>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10"/>
      <c r="AD197" s="10"/>
      <c r="AE197" s="10"/>
      <c r="AF197" s="10"/>
      <c r="AG197" s="10"/>
      <c r="AH197" s="10"/>
    </row>
    <row r="198" spans="1:34" ht="12.75">
      <c r="A198" s="1"/>
      <c r="B198" s="1"/>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10"/>
      <c r="AD198" s="10"/>
      <c r="AE198" s="10"/>
      <c r="AF198" s="10"/>
      <c r="AG198" s="10"/>
      <c r="AH198" s="10"/>
    </row>
    <row r="199" spans="1:34" ht="12.75">
      <c r="A199" s="1"/>
      <c r="B199" s="1"/>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10"/>
      <c r="AD199" s="10"/>
      <c r="AE199" s="10"/>
      <c r="AF199" s="10"/>
      <c r="AG199" s="10"/>
      <c r="AH199" s="10"/>
    </row>
    <row r="200" spans="1:34" ht="12.75">
      <c r="A200" s="1"/>
      <c r="B200" s="1"/>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10"/>
      <c r="AD200" s="10"/>
      <c r="AE200" s="10"/>
      <c r="AF200" s="10"/>
      <c r="AG200" s="10"/>
      <c r="AH200" s="10"/>
    </row>
    <row r="201" spans="1:34" ht="12.75">
      <c r="A201" s="1"/>
      <c r="B201" s="1"/>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10"/>
      <c r="AD201" s="10"/>
      <c r="AE201" s="10"/>
      <c r="AF201" s="10"/>
      <c r="AG201" s="10"/>
      <c r="AH201" s="10"/>
    </row>
    <row r="202" spans="1:34" ht="12.75">
      <c r="A202" s="1"/>
      <c r="B202" s="1"/>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10"/>
      <c r="AD202" s="10"/>
      <c r="AE202" s="10"/>
      <c r="AF202" s="10"/>
      <c r="AG202" s="10"/>
      <c r="AH202" s="10"/>
    </row>
    <row r="203" spans="1:34" ht="12.75">
      <c r="A203" s="1"/>
      <c r="B203" s="1"/>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10"/>
      <c r="AD203" s="10"/>
      <c r="AE203" s="10"/>
      <c r="AF203" s="10"/>
      <c r="AG203" s="10"/>
      <c r="AH203" s="10"/>
    </row>
    <row r="204" spans="1:34" ht="12.75">
      <c r="A204" s="1"/>
      <c r="B204" s="1"/>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10"/>
      <c r="AD204" s="10"/>
      <c r="AE204" s="10"/>
      <c r="AF204" s="10"/>
      <c r="AG204" s="10"/>
      <c r="AH204" s="10"/>
    </row>
    <row r="205" spans="1:34" ht="12.75">
      <c r="A205" s="1"/>
      <c r="B205" s="1"/>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10"/>
      <c r="AD205" s="10"/>
      <c r="AE205" s="10"/>
      <c r="AF205" s="10"/>
      <c r="AG205" s="10"/>
      <c r="AH205" s="10"/>
    </row>
    <row r="206" spans="1:34" ht="12.75">
      <c r="A206" s="1"/>
      <c r="B206" s="1"/>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10"/>
      <c r="AD206" s="10"/>
      <c r="AE206" s="10"/>
      <c r="AF206" s="10"/>
      <c r="AG206" s="10"/>
      <c r="AH206" s="10"/>
    </row>
    <row r="207" spans="1:34" ht="12.75">
      <c r="A207" s="1"/>
      <c r="B207" s="1"/>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10"/>
      <c r="AD207" s="10"/>
      <c r="AE207" s="10"/>
      <c r="AF207" s="10"/>
      <c r="AG207" s="10"/>
      <c r="AH207" s="10"/>
    </row>
    <row r="208" spans="1:34" ht="12.75">
      <c r="A208" s="1"/>
      <c r="B208" s="1"/>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10"/>
      <c r="AD208" s="10"/>
      <c r="AE208" s="10"/>
      <c r="AF208" s="10"/>
      <c r="AG208" s="10"/>
      <c r="AH208" s="10"/>
    </row>
    <row r="209" spans="1:34" ht="12.75">
      <c r="A209" s="1"/>
      <c r="B209" s="1"/>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10"/>
      <c r="AD209" s="10"/>
      <c r="AE209" s="10"/>
      <c r="AF209" s="10"/>
      <c r="AG209" s="10"/>
      <c r="AH209" s="10"/>
    </row>
    <row r="210" spans="1:34" ht="12.75">
      <c r="A210" s="1"/>
      <c r="B210" s="1"/>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10"/>
      <c r="AD210" s="10"/>
      <c r="AE210" s="10"/>
      <c r="AF210" s="10"/>
      <c r="AG210" s="10"/>
      <c r="AH210" s="10"/>
    </row>
    <row r="211" spans="1:34" ht="12.75">
      <c r="A211" s="1"/>
      <c r="B211" s="1"/>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10"/>
      <c r="AD211" s="10"/>
      <c r="AE211" s="10"/>
      <c r="AF211" s="10"/>
      <c r="AG211" s="10"/>
      <c r="AH211" s="10"/>
    </row>
    <row r="212" spans="1:34" ht="12.75">
      <c r="A212" s="1"/>
      <c r="B212" s="1"/>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10"/>
      <c r="AD212" s="10"/>
      <c r="AE212" s="10"/>
      <c r="AF212" s="10"/>
      <c r="AG212" s="10"/>
      <c r="AH212" s="10"/>
    </row>
    <row r="213" spans="1:34" ht="12.75">
      <c r="A213" s="1"/>
      <c r="B213" s="1"/>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10"/>
      <c r="AD213" s="10"/>
      <c r="AE213" s="10"/>
      <c r="AF213" s="10"/>
      <c r="AG213" s="10"/>
      <c r="AH213" s="10"/>
    </row>
    <row r="214" spans="1:34" ht="12.75">
      <c r="A214" s="1"/>
      <c r="B214" s="1"/>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10"/>
      <c r="AD214" s="10"/>
      <c r="AE214" s="10"/>
      <c r="AF214" s="10"/>
      <c r="AG214" s="10"/>
      <c r="AH214" s="10"/>
    </row>
    <row r="215" spans="1:34" ht="12.75">
      <c r="A215" s="1"/>
      <c r="B215" s="1"/>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10"/>
      <c r="AD215" s="10"/>
      <c r="AE215" s="10"/>
      <c r="AF215" s="10"/>
      <c r="AG215" s="10"/>
      <c r="AH215" s="10"/>
    </row>
    <row r="216" spans="1:34" ht="12.75">
      <c r="A216" s="1"/>
      <c r="B216" s="1"/>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10"/>
      <c r="AD216" s="10"/>
      <c r="AE216" s="10"/>
      <c r="AF216" s="10"/>
      <c r="AG216" s="10"/>
      <c r="AH216" s="10"/>
    </row>
    <row r="217" spans="1:34" ht="12.75">
      <c r="A217" s="1"/>
      <c r="B217" s="1"/>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10"/>
      <c r="AD217" s="10"/>
      <c r="AE217" s="10"/>
      <c r="AF217" s="10"/>
      <c r="AG217" s="10"/>
      <c r="AH217" s="10"/>
    </row>
    <row r="218" spans="1:34" ht="12.75">
      <c r="A218" s="1"/>
      <c r="B218" s="1"/>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10"/>
      <c r="AD218" s="10"/>
      <c r="AE218" s="10"/>
      <c r="AF218" s="10"/>
      <c r="AG218" s="10"/>
      <c r="AH218" s="10"/>
    </row>
    <row r="219" spans="1:34" ht="12.75">
      <c r="A219" s="1"/>
      <c r="B219" s="1"/>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10"/>
      <c r="AD219" s="10"/>
      <c r="AE219" s="10"/>
      <c r="AF219" s="10"/>
      <c r="AG219" s="10"/>
      <c r="AH219" s="10"/>
    </row>
    <row r="220" spans="1:34" ht="12.75">
      <c r="A220" s="1"/>
      <c r="B220" s="1"/>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10"/>
      <c r="AD220" s="10"/>
      <c r="AE220" s="10"/>
      <c r="AF220" s="10"/>
      <c r="AG220" s="10"/>
      <c r="AH220" s="10"/>
    </row>
    <row r="221" spans="1:34" ht="12.75">
      <c r="A221" s="1"/>
      <c r="B221" s="1"/>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10"/>
      <c r="AD221" s="10"/>
      <c r="AE221" s="10"/>
      <c r="AF221" s="10"/>
      <c r="AG221" s="10"/>
      <c r="AH221" s="10"/>
    </row>
    <row r="222" spans="1:34" ht="12.75">
      <c r="A222" s="1"/>
      <c r="B222" s="1"/>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10"/>
      <c r="AD222" s="10"/>
      <c r="AE222" s="10"/>
      <c r="AF222" s="10"/>
      <c r="AG222" s="10"/>
      <c r="AH222" s="10"/>
    </row>
    <row r="223" spans="1:34" ht="12.75">
      <c r="A223" s="1"/>
      <c r="B223" s="1"/>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10"/>
      <c r="AD223" s="10"/>
      <c r="AE223" s="10"/>
      <c r="AF223" s="10"/>
      <c r="AG223" s="10"/>
      <c r="AH223" s="10"/>
    </row>
    <row r="224" spans="1:34" ht="12.75">
      <c r="A224" s="1"/>
      <c r="B224" s="1"/>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10"/>
      <c r="AD224" s="10"/>
      <c r="AE224" s="10"/>
      <c r="AF224" s="10"/>
      <c r="AG224" s="10"/>
      <c r="AH224" s="10"/>
    </row>
    <row r="225" spans="1:34" ht="12.75">
      <c r="A225" s="1"/>
      <c r="B225" s="1"/>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10"/>
      <c r="AD225" s="10"/>
      <c r="AE225" s="10"/>
      <c r="AF225" s="10"/>
      <c r="AG225" s="10"/>
      <c r="AH225" s="10"/>
    </row>
    <row r="226" spans="1:34" ht="12.75">
      <c r="A226" s="1"/>
      <c r="B226" s="1"/>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10"/>
      <c r="AD226" s="10"/>
      <c r="AE226" s="10"/>
      <c r="AF226" s="10"/>
      <c r="AG226" s="10"/>
      <c r="AH226" s="10"/>
    </row>
    <row r="227" spans="1:34" ht="12.75">
      <c r="A227" s="1"/>
      <c r="B227" s="1"/>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10"/>
      <c r="AD227" s="10"/>
      <c r="AE227" s="10"/>
      <c r="AF227" s="10"/>
      <c r="AG227" s="10"/>
      <c r="AH227" s="10"/>
    </row>
    <row r="228" spans="1:34" ht="12.75">
      <c r="A228" s="1"/>
      <c r="B228" s="1"/>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10"/>
      <c r="AD228" s="10"/>
      <c r="AE228" s="10"/>
      <c r="AF228" s="10"/>
      <c r="AG228" s="10"/>
      <c r="AH228" s="10"/>
    </row>
    <row r="229" spans="1:34" ht="12.75">
      <c r="A229" s="1"/>
      <c r="B229" s="1"/>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10"/>
      <c r="AD229" s="10"/>
      <c r="AE229" s="10"/>
      <c r="AF229" s="10"/>
      <c r="AG229" s="10"/>
      <c r="AH229" s="10"/>
    </row>
    <row r="230" spans="1:34" ht="12.75">
      <c r="A230" s="1"/>
      <c r="B230" s="1"/>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10"/>
      <c r="AD230" s="10"/>
      <c r="AE230" s="10"/>
      <c r="AF230" s="10"/>
      <c r="AG230" s="10"/>
      <c r="AH230" s="10"/>
    </row>
    <row r="231" spans="1:34" ht="12.75">
      <c r="A231" s="1"/>
      <c r="B231" s="1"/>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10"/>
      <c r="AD231" s="10"/>
      <c r="AE231" s="10"/>
      <c r="AF231" s="10"/>
      <c r="AG231" s="10"/>
      <c r="AH231" s="10"/>
    </row>
    <row r="232" spans="1:34" ht="12.75">
      <c r="A232" s="1"/>
      <c r="B232" s="1"/>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10"/>
      <c r="AD232" s="10"/>
      <c r="AE232" s="10"/>
      <c r="AF232" s="10"/>
      <c r="AG232" s="10"/>
      <c r="AH232" s="10"/>
    </row>
    <row r="233" spans="1:34" ht="12.75">
      <c r="A233" s="1"/>
      <c r="B233" s="1"/>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10"/>
      <c r="AD233" s="10"/>
      <c r="AE233" s="10"/>
      <c r="AF233" s="10"/>
      <c r="AG233" s="10"/>
      <c r="AH233" s="10"/>
    </row>
    <row r="234" spans="1:34" ht="12.75">
      <c r="A234" s="1"/>
      <c r="B234" s="1"/>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10"/>
      <c r="AD234" s="10"/>
      <c r="AE234" s="10"/>
      <c r="AF234" s="10"/>
      <c r="AG234" s="10"/>
      <c r="AH234" s="10"/>
    </row>
    <row r="235" spans="1:34" ht="12.75">
      <c r="A235" s="1"/>
      <c r="B235" s="1"/>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10"/>
      <c r="AD235" s="10"/>
      <c r="AE235" s="10"/>
      <c r="AF235" s="10"/>
      <c r="AG235" s="10"/>
      <c r="AH235" s="10"/>
    </row>
    <row r="236" spans="1:34" ht="12.75">
      <c r="A236" s="1"/>
      <c r="B236" s="1"/>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10"/>
      <c r="AD236" s="10"/>
      <c r="AE236" s="10"/>
      <c r="AF236" s="10"/>
      <c r="AG236" s="10"/>
      <c r="AH236" s="10"/>
    </row>
    <row r="237" spans="1:34" ht="12.75">
      <c r="A237" s="1"/>
      <c r="B237" s="1"/>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10"/>
      <c r="AD237" s="10"/>
      <c r="AE237" s="10"/>
      <c r="AF237" s="10"/>
      <c r="AG237" s="10"/>
      <c r="AH237" s="10"/>
    </row>
    <row r="238" spans="1:34" ht="12.75">
      <c r="A238" s="1"/>
      <c r="B238" s="1"/>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10"/>
      <c r="AD238" s="10"/>
      <c r="AE238" s="10"/>
      <c r="AF238" s="10"/>
      <c r="AG238" s="10"/>
      <c r="AH238" s="10"/>
    </row>
    <row r="239" spans="1:34" ht="12.75">
      <c r="A239" s="1"/>
      <c r="B239" s="1"/>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10"/>
      <c r="AD239" s="10"/>
      <c r="AE239" s="10"/>
      <c r="AF239" s="10"/>
      <c r="AG239" s="10"/>
      <c r="AH239" s="10"/>
    </row>
    <row r="240" spans="1:34" ht="12.75">
      <c r="A240" s="1"/>
      <c r="B240" s="1"/>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10"/>
      <c r="AD240" s="10"/>
      <c r="AE240" s="10"/>
      <c r="AF240" s="10"/>
      <c r="AG240" s="10"/>
      <c r="AH240" s="10"/>
    </row>
    <row r="241" spans="1:34" ht="12.75">
      <c r="A241" s="1"/>
      <c r="B241" s="1"/>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10"/>
      <c r="AD241" s="10"/>
      <c r="AE241" s="10"/>
      <c r="AF241" s="10"/>
      <c r="AG241" s="10"/>
      <c r="AH241" s="10"/>
    </row>
    <row r="242" spans="1:34" ht="12.75">
      <c r="A242" s="1"/>
      <c r="B242" s="1"/>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10"/>
      <c r="AD242" s="10"/>
      <c r="AE242" s="10"/>
      <c r="AF242" s="10"/>
      <c r="AG242" s="10"/>
      <c r="AH242" s="10"/>
    </row>
    <row r="243" spans="1:34" ht="12.75">
      <c r="A243" s="1"/>
      <c r="B243" s="1"/>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10"/>
      <c r="AD243" s="10"/>
      <c r="AE243" s="10"/>
      <c r="AF243" s="10"/>
      <c r="AG243" s="10"/>
      <c r="AH243" s="10"/>
    </row>
    <row r="244" spans="1:34" ht="12.75">
      <c r="A244" s="1"/>
      <c r="B244" s="1"/>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10"/>
      <c r="AD244" s="10"/>
      <c r="AE244" s="10"/>
      <c r="AF244" s="10"/>
      <c r="AG244" s="10"/>
      <c r="AH244" s="10"/>
    </row>
    <row r="245" spans="1:34" ht="12.75">
      <c r="A245" s="1"/>
      <c r="B245" s="1"/>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10"/>
      <c r="AD245" s="10"/>
      <c r="AE245" s="10"/>
      <c r="AF245" s="10"/>
      <c r="AG245" s="10"/>
      <c r="AH245" s="10"/>
    </row>
    <row r="246" spans="1:34" ht="12.75">
      <c r="A246" s="1"/>
      <c r="B246" s="1"/>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10"/>
      <c r="AD246" s="10"/>
      <c r="AE246" s="10"/>
      <c r="AF246" s="10"/>
      <c r="AG246" s="10"/>
      <c r="AH246" s="10"/>
    </row>
    <row r="247" spans="1:34" ht="12.75">
      <c r="A247" s="1"/>
      <c r="B247" s="1"/>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10"/>
      <c r="AD247" s="10"/>
      <c r="AE247" s="10"/>
      <c r="AF247" s="10"/>
      <c r="AG247" s="10"/>
      <c r="AH247" s="10"/>
    </row>
    <row r="248" spans="1:34" ht="12.75">
      <c r="A248" s="1"/>
      <c r="B248" s="1"/>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10"/>
      <c r="AD248" s="10"/>
      <c r="AE248" s="10"/>
      <c r="AF248" s="10"/>
      <c r="AG248" s="10"/>
      <c r="AH248" s="10"/>
    </row>
    <row r="249" spans="1:34" ht="12.75">
      <c r="A249" s="1"/>
      <c r="B249" s="1"/>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10"/>
      <c r="AD249" s="10"/>
      <c r="AE249" s="10"/>
      <c r="AF249" s="10"/>
      <c r="AG249" s="10"/>
      <c r="AH249" s="10"/>
    </row>
    <row r="250" spans="1:34" ht="12.75">
      <c r="A250" s="1"/>
      <c r="B250" s="1"/>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10"/>
      <c r="AD250" s="10"/>
      <c r="AE250" s="10"/>
      <c r="AF250" s="10"/>
      <c r="AG250" s="10"/>
      <c r="AH250" s="10"/>
    </row>
    <row r="251" spans="1:34" ht="12.75">
      <c r="A251" s="1"/>
      <c r="B251" s="1"/>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10"/>
      <c r="AD251" s="10"/>
      <c r="AE251" s="10"/>
      <c r="AF251" s="10"/>
      <c r="AG251" s="10"/>
      <c r="AH251" s="10"/>
    </row>
    <row r="252" spans="1:34" ht="12.75">
      <c r="A252" s="1"/>
      <c r="B252" s="1"/>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10"/>
      <c r="AD252" s="10"/>
      <c r="AE252" s="10"/>
      <c r="AF252" s="10"/>
      <c r="AG252" s="10"/>
      <c r="AH252" s="10"/>
    </row>
    <row r="253" spans="1:34" ht="12.75">
      <c r="A253" s="1"/>
      <c r="B253" s="1"/>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10"/>
      <c r="AD253" s="10"/>
      <c r="AE253" s="10"/>
      <c r="AF253" s="10"/>
      <c r="AG253" s="10"/>
      <c r="AH253" s="10"/>
    </row>
    <row r="254" spans="1:34" ht="12.75">
      <c r="A254" s="1"/>
      <c r="B254" s="1"/>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10"/>
      <c r="AD254" s="10"/>
      <c r="AE254" s="10"/>
      <c r="AF254" s="10"/>
      <c r="AG254" s="10"/>
      <c r="AH254" s="10"/>
    </row>
    <row r="255" spans="1:34" ht="12.75">
      <c r="A255" s="1"/>
      <c r="B255" s="1"/>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10"/>
      <c r="AD255" s="10"/>
      <c r="AE255" s="10"/>
      <c r="AF255" s="10"/>
      <c r="AG255" s="10"/>
      <c r="AH255" s="10"/>
    </row>
    <row r="256" spans="1:34" ht="12.75">
      <c r="A256" s="1"/>
      <c r="B256" s="1"/>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10"/>
      <c r="AD256" s="10"/>
      <c r="AE256" s="10"/>
      <c r="AF256" s="10"/>
      <c r="AG256" s="10"/>
      <c r="AH256" s="10"/>
    </row>
    <row r="257" spans="1:34" ht="12.75">
      <c r="A257" s="1"/>
      <c r="B257" s="1"/>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10"/>
      <c r="AD257" s="10"/>
      <c r="AE257" s="10"/>
      <c r="AF257" s="10"/>
      <c r="AG257" s="10"/>
      <c r="AH257" s="10"/>
    </row>
    <row r="258" spans="1:34" ht="12.75">
      <c r="A258" s="1"/>
      <c r="B258" s="1"/>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10"/>
      <c r="AD258" s="10"/>
      <c r="AE258" s="10"/>
      <c r="AF258" s="10"/>
      <c r="AG258" s="10"/>
      <c r="AH258" s="10"/>
    </row>
    <row r="259" spans="1:34" ht="12.75">
      <c r="A259" s="1"/>
      <c r="B259" s="1"/>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10"/>
      <c r="AD259" s="10"/>
      <c r="AE259" s="10"/>
      <c r="AF259" s="10"/>
      <c r="AG259" s="10"/>
      <c r="AH259" s="10"/>
    </row>
    <row r="260" spans="1:34" ht="12.75">
      <c r="A260" s="1"/>
      <c r="B260" s="1"/>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10"/>
      <c r="AD260" s="10"/>
      <c r="AE260" s="10"/>
      <c r="AF260" s="10"/>
      <c r="AG260" s="10"/>
      <c r="AH260" s="10"/>
    </row>
    <row r="261" spans="1:34" ht="12.75">
      <c r="A261" s="1"/>
      <c r="B261" s="1"/>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10"/>
      <c r="AD261" s="10"/>
      <c r="AE261" s="10"/>
      <c r="AF261" s="10"/>
      <c r="AG261" s="10"/>
      <c r="AH261" s="10"/>
    </row>
    <row r="262" spans="1:34" ht="12.75">
      <c r="A262" s="1"/>
      <c r="B262" s="1"/>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10"/>
      <c r="AD262" s="10"/>
      <c r="AE262" s="10"/>
      <c r="AF262" s="10"/>
      <c r="AG262" s="10"/>
      <c r="AH262" s="10"/>
    </row>
    <row r="263" spans="1:34" ht="12.75">
      <c r="A263" s="1"/>
      <c r="B263" s="1"/>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10"/>
      <c r="AD263" s="10"/>
      <c r="AE263" s="10"/>
      <c r="AF263" s="10"/>
      <c r="AG263" s="10"/>
      <c r="AH263" s="10"/>
    </row>
    <row r="264" spans="1:34" ht="12.75">
      <c r="A264" s="1"/>
      <c r="B264" s="1"/>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10"/>
      <c r="AD264" s="10"/>
      <c r="AE264" s="10"/>
      <c r="AF264" s="10"/>
      <c r="AG264" s="10"/>
      <c r="AH264" s="10"/>
    </row>
    <row r="265" spans="1:34" ht="12.75">
      <c r="A265" s="1"/>
      <c r="B265" s="1"/>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10"/>
      <c r="AD265" s="10"/>
      <c r="AE265" s="10"/>
      <c r="AF265" s="10"/>
      <c r="AG265" s="10"/>
      <c r="AH265" s="10"/>
    </row>
    <row r="266" spans="1:34" ht="12.75">
      <c r="A266" s="1"/>
      <c r="B266" s="1"/>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10"/>
      <c r="AD266" s="10"/>
      <c r="AE266" s="10"/>
      <c r="AF266" s="10"/>
      <c r="AG266" s="10"/>
      <c r="AH266" s="10"/>
    </row>
    <row r="267" spans="1:34" ht="12.75">
      <c r="A267" s="1"/>
      <c r="B267" s="1"/>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10"/>
      <c r="AD267" s="10"/>
      <c r="AE267" s="10"/>
      <c r="AF267" s="10"/>
      <c r="AG267" s="10"/>
      <c r="AH267" s="10"/>
    </row>
    <row r="268" spans="1:34" ht="12.75">
      <c r="A268" s="1"/>
      <c r="B268" s="1"/>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10"/>
      <c r="AD268" s="10"/>
      <c r="AE268" s="10"/>
      <c r="AF268" s="10"/>
      <c r="AG268" s="10"/>
      <c r="AH268" s="10"/>
    </row>
    <row r="269" spans="1:34" ht="12.75">
      <c r="A269" s="1"/>
      <c r="B269" s="1"/>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10"/>
      <c r="AD269" s="10"/>
      <c r="AE269" s="10"/>
      <c r="AF269" s="10"/>
      <c r="AG269" s="10"/>
      <c r="AH269" s="10"/>
    </row>
    <row r="270" spans="1:34" ht="12.75">
      <c r="A270" s="1"/>
      <c r="B270" s="1"/>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10"/>
      <c r="AD270" s="10"/>
      <c r="AE270" s="10"/>
      <c r="AF270" s="10"/>
      <c r="AG270" s="10"/>
      <c r="AH270" s="10"/>
    </row>
    <row r="271" spans="1:34" ht="12.75">
      <c r="A271" s="1"/>
      <c r="B271" s="1"/>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10"/>
      <c r="AD271" s="10"/>
      <c r="AE271" s="10"/>
      <c r="AF271" s="10"/>
      <c r="AG271" s="10"/>
      <c r="AH271" s="10"/>
    </row>
    <row r="272" spans="1:34" ht="12.75">
      <c r="A272" s="1"/>
      <c r="B272" s="1"/>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10"/>
      <c r="AD272" s="10"/>
      <c r="AE272" s="10"/>
      <c r="AF272" s="10"/>
      <c r="AG272" s="10"/>
      <c r="AH272" s="10"/>
    </row>
    <row r="273" spans="1:34" ht="12.75">
      <c r="A273" s="1"/>
      <c r="B273" s="1"/>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10"/>
      <c r="AD273" s="10"/>
      <c r="AE273" s="10"/>
      <c r="AF273" s="10"/>
      <c r="AG273" s="10"/>
      <c r="AH273" s="10"/>
    </row>
    <row r="274" spans="1:34" ht="12.75">
      <c r="A274" s="1"/>
      <c r="B274" s="1"/>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10"/>
      <c r="AD274" s="10"/>
      <c r="AE274" s="10"/>
      <c r="AF274" s="10"/>
      <c r="AG274" s="10"/>
      <c r="AH274" s="10"/>
    </row>
    <row r="275" spans="1:34" ht="12.75">
      <c r="A275" s="1"/>
      <c r="B275" s="1"/>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10"/>
      <c r="AD275" s="10"/>
      <c r="AE275" s="10"/>
      <c r="AF275" s="10"/>
      <c r="AG275" s="10"/>
      <c r="AH275" s="10"/>
    </row>
    <row r="276" spans="1:34" ht="12.75">
      <c r="A276" s="1"/>
      <c r="B276" s="1"/>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10"/>
      <c r="AD276" s="10"/>
      <c r="AE276" s="10"/>
      <c r="AF276" s="10"/>
      <c r="AG276" s="10"/>
      <c r="AH276" s="10"/>
    </row>
    <row r="277" spans="1:34" ht="12.75">
      <c r="A277" s="1"/>
      <c r="B277" s="1"/>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10"/>
      <c r="AD277" s="10"/>
      <c r="AE277" s="10"/>
      <c r="AF277" s="10"/>
      <c r="AG277" s="10"/>
      <c r="AH277" s="10"/>
    </row>
    <row r="278" spans="1:34" ht="12.75">
      <c r="A278" s="1"/>
      <c r="B278" s="1"/>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10"/>
      <c r="AD278" s="10"/>
      <c r="AE278" s="10"/>
      <c r="AF278" s="10"/>
      <c r="AG278" s="10"/>
      <c r="AH278" s="10"/>
    </row>
    <row r="279" spans="1:34" ht="12.75">
      <c r="A279" s="1"/>
      <c r="B279" s="1"/>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10"/>
      <c r="AD279" s="10"/>
      <c r="AE279" s="10"/>
      <c r="AF279" s="10"/>
      <c r="AG279" s="10"/>
      <c r="AH279" s="10"/>
    </row>
    <row r="280" spans="1:34" ht="12.75">
      <c r="A280" s="1"/>
      <c r="B280" s="1"/>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10"/>
      <c r="AD280" s="10"/>
      <c r="AE280" s="10"/>
      <c r="AF280" s="10"/>
      <c r="AG280" s="10"/>
      <c r="AH280" s="10"/>
    </row>
    <row r="281" spans="1:34" ht="12.75">
      <c r="A281" s="1"/>
      <c r="B281" s="1"/>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10"/>
      <c r="AD281" s="10"/>
      <c r="AE281" s="10"/>
      <c r="AF281" s="10"/>
      <c r="AG281" s="10"/>
      <c r="AH281" s="10"/>
    </row>
    <row r="282" spans="1:34" ht="12.75">
      <c r="A282" s="1"/>
      <c r="B282" s="1"/>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10"/>
      <c r="AD282" s="10"/>
      <c r="AE282" s="10"/>
      <c r="AF282" s="10"/>
      <c r="AG282" s="10"/>
      <c r="AH282" s="10"/>
    </row>
    <row r="283" spans="1:34" ht="12.75">
      <c r="A283" s="1"/>
      <c r="B283" s="1"/>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10"/>
      <c r="AD283" s="10"/>
      <c r="AE283" s="10"/>
      <c r="AF283" s="10"/>
      <c r="AG283" s="10"/>
      <c r="AH283" s="10"/>
    </row>
    <row r="284" spans="1:34" ht="12.75">
      <c r="A284" s="1"/>
      <c r="B284" s="1"/>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10"/>
      <c r="AD284" s="10"/>
      <c r="AE284" s="10"/>
      <c r="AF284" s="10"/>
      <c r="AG284" s="10"/>
      <c r="AH284" s="10"/>
    </row>
    <row r="285" spans="1:34" ht="12.75">
      <c r="A285" s="1"/>
      <c r="B285" s="1"/>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10"/>
      <c r="AD285" s="10"/>
      <c r="AE285" s="10"/>
      <c r="AF285" s="10"/>
      <c r="AG285" s="10"/>
      <c r="AH285" s="10"/>
    </row>
    <row r="286" spans="1:34" ht="12.75">
      <c r="A286" s="1"/>
      <c r="B286" s="1"/>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10"/>
      <c r="AD286" s="10"/>
      <c r="AE286" s="10"/>
      <c r="AF286" s="10"/>
      <c r="AG286" s="10"/>
      <c r="AH286" s="10"/>
    </row>
    <row r="287" spans="1:34" ht="12.75">
      <c r="A287" s="1"/>
      <c r="B287" s="1"/>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10"/>
      <c r="AD287" s="10"/>
      <c r="AE287" s="10"/>
      <c r="AF287" s="10"/>
      <c r="AG287" s="10"/>
      <c r="AH287" s="10"/>
    </row>
    <row r="288" spans="1:34" ht="12.75">
      <c r="A288" s="1"/>
      <c r="B288" s="1"/>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10"/>
      <c r="AD288" s="10"/>
      <c r="AE288" s="10"/>
      <c r="AF288" s="10"/>
      <c r="AG288" s="10"/>
      <c r="AH288" s="10"/>
    </row>
    <row r="289" spans="1:34" ht="12.75">
      <c r="A289" s="1"/>
      <c r="B289" s="1"/>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10"/>
      <c r="AD289" s="10"/>
      <c r="AE289" s="10"/>
      <c r="AF289" s="10"/>
      <c r="AG289" s="10"/>
      <c r="AH289" s="10"/>
    </row>
    <row r="290" spans="1:34" ht="12.75">
      <c r="A290" s="1"/>
      <c r="B290" s="1"/>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10"/>
      <c r="AD290" s="10"/>
      <c r="AE290" s="10"/>
      <c r="AF290" s="10"/>
      <c r="AG290" s="10"/>
      <c r="AH290" s="10"/>
    </row>
    <row r="291" spans="1:34" ht="12.75">
      <c r="A291" s="1"/>
      <c r="B291" s="1"/>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10"/>
      <c r="AD291" s="10"/>
      <c r="AE291" s="10"/>
      <c r="AF291" s="10"/>
      <c r="AG291" s="10"/>
      <c r="AH291" s="10"/>
    </row>
    <row r="292" spans="1:34" ht="12.75">
      <c r="A292" s="1"/>
      <c r="B292" s="1"/>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10"/>
      <c r="AD292" s="10"/>
      <c r="AE292" s="10"/>
      <c r="AF292" s="10"/>
      <c r="AG292" s="10"/>
      <c r="AH292" s="10"/>
    </row>
    <row r="293" spans="1:34" ht="12.75">
      <c r="A293" s="1"/>
      <c r="B293" s="1"/>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10"/>
      <c r="AD293" s="10"/>
      <c r="AE293" s="10"/>
      <c r="AF293" s="10"/>
      <c r="AG293" s="10"/>
      <c r="AH293" s="10"/>
    </row>
    <row r="294" spans="1:34" ht="12.75">
      <c r="A294" s="1"/>
      <c r="B294" s="1"/>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10"/>
      <c r="AD294" s="10"/>
      <c r="AE294" s="10"/>
      <c r="AF294" s="10"/>
      <c r="AG294" s="10"/>
      <c r="AH294" s="10"/>
    </row>
    <row r="295" spans="1:34" ht="12.75">
      <c r="A295" s="1"/>
      <c r="B295" s="1"/>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10"/>
      <c r="AD295" s="10"/>
      <c r="AE295" s="10"/>
      <c r="AF295" s="10"/>
      <c r="AG295" s="10"/>
      <c r="AH295" s="10"/>
    </row>
    <row r="296" spans="1:34" ht="12.75">
      <c r="A296" s="1"/>
      <c r="B296" s="1"/>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10"/>
      <c r="AD296" s="10"/>
      <c r="AE296" s="10"/>
      <c r="AF296" s="10"/>
      <c r="AG296" s="10"/>
      <c r="AH296" s="10"/>
    </row>
    <row r="297" spans="1:34" ht="12.75">
      <c r="A297" s="1"/>
      <c r="B297" s="1"/>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10"/>
      <c r="AD297" s="10"/>
      <c r="AE297" s="10"/>
      <c r="AF297" s="10"/>
      <c r="AG297" s="10"/>
      <c r="AH297" s="10"/>
    </row>
    <row r="298" spans="1:34" ht="12.75">
      <c r="A298" s="1"/>
      <c r="B298" s="1"/>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10"/>
      <c r="AD298" s="10"/>
      <c r="AE298" s="10"/>
      <c r="AF298" s="10"/>
      <c r="AG298" s="10"/>
      <c r="AH298" s="10"/>
    </row>
    <row r="299" spans="1:34" ht="12.75">
      <c r="A299" s="1"/>
      <c r="B299" s="1"/>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10"/>
      <c r="AD299" s="10"/>
      <c r="AE299" s="10"/>
      <c r="AF299" s="10"/>
      <c r="AG299" s="10"/>
      <c r="AH299" s="10"/>
    </row>
    <row r="300" spans="1:34" ht="12.75">
      <c r="A300" s="1"/>
      <c r="B300" s="1"/>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10"/>
      <c r="AD300" s="10"/>
      <c r="AE300" s="10"/>
      <c r="AF300" s="10"/>
      <c r="AG300" s="10"/>
      <c r="AH300" s="10"/>
    </row>
    <row r="301" spans="1:34" ht="12.75">
      <c r="A301" s="1"/>
      <c r="B301" s="1"/>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10"/>
      <c r="AD301" s="10"/>
      <c r="AE301" s="10"/>
      <c r="AF301" s="10"/>
      <c r="AG301" s="10"/>
      <c r="AH301" s="10"/>
    </row>
    <row r="302" spans="1:34" ht="12.75">
      <c r="A302" s="1"/>
      <c r="B302" s="1"/>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10"/>
      <c r="AD302" s="10"/>
      <c r="AE302" s="10"/>
      <c r="AF302" s="10"/>
      <c r="AG302" s="10"/>
      <c r="AH302" s="10"/>
    </row>
    <row r="303" spans="1:34" ht="12.75">
      <c r="A303" s="1"/>
      <c r="B303" s="1"/>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10"/>
      <c r="AD303" s="10"/>
      <c r="AE303" s="10"/>
      <c r="AF303" s="10"/>
      <c r="AG303" s="10"/>
      <c r="AH303" s="10"/>
    </row>
    <row r="304" spans="1:34" ht="12.75">
      <c r="A304" s="1"/>
      <c r="B304" s="1"/>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10"/>
      <c r="AD304" s="10"/>
      <c r="AE304" s="10"/>
      <c r="AF304" s="10"/>
      <c r="AG304" s="10"/>
      <c r="AH304" s="10"/>
    </row>
    <row r="305" spans="1:34" ht="12.75">
      <c r="A305" s="1"/>
      <c r="B305" s="1"/>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10"/>
      <c r="AD305" s="10"/>
      <c r="AE305" s="10"/>
      <c r="AF305" s="10"/>
      <c r="AG305" s="10"/>
      <c r="AH305" s="10"/>
    </row>
    <row r="306" spans="1:34" ht="12.75">
      <c r="A306" s="1"/>
      <c r="B306" s="1"/>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10"/>
      <c r="AD306" s="10"/>
      <c r="AE306" s="10"/>
      <c r="AF306" s="10"/>
      <c r="AG306" s="10"/>
      <c r="AH306" s="10"/>
    </row>
    <row r="307" spans="1:34" ht="12.75">
      <c r="A307" s="1"/>
      <c r="B307" s="1"/>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10"/>
      <c r="AD307" s="10"/>
      <c r="AE307" s="10"/>
      <c r="AF307" s="10"/>
      <c r="AG307" s="10"/>
      <c r="AH307" s="10"/>
    </row>
    <row r="308" spans="1:34" ht="12.75">
      <c r="A308" s="1"/>
      <c r="B308" s="1"/>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10"/>
      <c r="AD308" s="10"/>
      <c r="AE308" s="10"/>
      <c r="AF308" s="10"/>
      <c r="AG308" s="10"/>
      <c r="AH308" s="10"/>
    </row>
    <row r="309" spans="1:34" ht="12.75">
      <c r="A309" s="1"/>
      <c r="B309" s="1"/>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10"/>
      <c r="AD309" s="10"/>
      <c r="AE309" s="10"/>
      <c r="AF309" s="10"/>
      <c r="AG309" s="10"/>
      <c r="AH309" s="10"/>
    </row>
    <row r="310" spans="1:34" ht="12.75">
      <c r="A310" s="1"/>
      <c r="B310" s="1"/>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10"/>
      <c r="AD310" s="10"/>
      <c r="AE310" s="10"/>
      <c r="AF310" s="10"/>
      <c r="AG310" s="10"/>
      <c r="AH310" s="10"/>
    </row>
    <row r="311" spans="1:34" ht="12.75">
      <c r="A311" s="1"/>
      <c r="B311" s="1"/>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10"/>
      <c r="AD311" s="10"/>
      <c r="AE311" s="10"/>
      <c r="AF311" s="10"/>
      <c r="AG311" s="10"/>
      <c r="AH311" s="10"/>
    </row>
    <row r="312" spans="1:34" ht="12.75">
      <c r="A312" s="1"/>
      <c r="B312" s="1"/>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10"/>
      <c r="AD312" s="10"/>
      <c r="AE312" s="10"/>
      <c r="AF312" s="10"/>
      <c r="AG312" s="10"/>
      <c r="AH312" s="10"/>
    </row>
    <row r="313" spans="1:34" ht="12.75">
      <c r="A313" s="1"/>
      <c r="B313" s="1"/>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10"/>
      <c r="AD313" s="10"/>
      <c r="AE313" s="10"/>
      <c r="AF313" s="10"/>
      <c r="AG313" s="10"/>
      <c r="AH313" s="10"/>
    </row>
    <row r="314" spans="1:34" ht="12.75">
      <c r="A314" s="1"/>
      <c r="B314" s="1"/>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10"/>
      <c r="AD314" s="10"/>
      <c r="AE314" s="10"/>
      <c r="AF314" s="10"/>
      <c r="AG314" s="10"/>
      <c r="AH314" s="10"/>
    </row>
    <row r="315" spans="1:34" ht="12.75">
      <c r="A315" s="1"/>
      <c r="B315" s="1"/>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10"/>
      <c r="AD315" s="10"/>
      <c r="AE315" s="10"/>
      <c r="AF315" s="10"/>
      <c r="AG315" s="10"/>
      <c r="AH315" s="10"/>
    </row>
    <row r="316" spans="1:34" ht="12.75">
      <c r="A316" s="1"/>
      <c r="B316" s="1"/>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10"/>
      <c r="AD316" s="10"/>
      <c r="AE316" s="10"/>
      <c r="AF316" s="10"/>
      <c r="AG316" s="10"/>
      <c r="AH316" s="10"/>
    </row>
    <row r="317" spans="1:34" ht="12.75">
      <c r="A317" s="1"/>
      <c r="B317" s="1"/>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10"/>
      <c r="AD317" s="10"/>
      <c r="AE317" s="10"/>
      <c r="AF317" s="10"/>
      <c r="AG317" s="10"/>
      <c r="AH317" s="10"/>
    </row>
    <row r="318" spans="1:34" ht="12.75">
      <c r="A318" s="1"/>
      <c r="B318" s="1"/>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10"/>
      <c r="AD318" s="10"/>
      <c r="AE318" s="10"/>
      <c r="AF318" s="10"/>
      <c r="AG318" s="10"/>
      <c r="AH318" s="10"/>
    </row>
    <row r="319" spans="1:34" ht="12.75">
      <c r="A319" s="1"/>
      <c r="B319" s="1"/>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10"/>
      <c r="AD319" s="10"/>
      <c r="AE319" s="10"/>
      <c r="AF319" s="10"/>
      <c r="AG319" s="10"/>
      <c r="AH319" s="10"/>
    </row>
    <row r="320" spans="1:34" ht="12.75">
      <c r="A320" s="1"/>
      <c r="B320" s="1"/>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10"/>
      <c r="AD320" s="10"/>
      <c r="AE320" s="10"/>
      <c r="AF320" s="10"/>
      <c r="AG320" s="10"/>
      <c r="AH320" s="10"/>
    </row>
    <row r="321" spans="1:34" ht="12.75">
      <c r="A321" s="1"/>
      <c r="B321" s="1"/>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10"/>
      <c r="AD321" s="10"/>
      <c r="AE321" s="10"/>
      <c r="AF321" s="10"/>
      <c r="AG321" s="10"/>
      <c r="AH321" s="10"/>
    </row>
    <row r="322" spans="1:34" ht="12.75">
      <c r="A322" s="1"/>
      <c r="B322" s="1"/>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10"/>
      <c r="AD322" s="10"/>
      <c r="AE322" s="10"/>
      <c r="AF322" s="10"/>
      <c r="AG322" s="10"/>
      <c r="AH322" s="10"/>
    </row>
    <row r="323" spans="1:34" ht="12.75">
      <c r="A323" s="1"/>
      <c r="B323" s="1"/>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10"/>
      <c r="AD323" s="10"/>
      <c r="AE323" s="10"/>
      <c r="AF323" s="10"/>
      <c r="AG323" s="10"/>
      <c r="AH323" s="10"/>
    </row>
    <row r="324" spans="1:34" ht="12.75">
      <c r="A324" s="1"/>
      <c r="B324" s="1"/>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10"/>
      <c r="AD324" s="10"/>
      <c r="AE324" s="10"/>
      <c r="AF324" s="10"/>
      <c r="AG324" s="10"/>
      <c r="AH324" s="10"/>
    </row>
    <row r="325" spans="1:34" ht="12.75">
      <c r="A325" s="1"/>
      <c r="B325" s="1"/>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10"/>
      <c r="AD325" s="10"/>
      <c r="AE325" s="10"/>
      <c r="AF325" s="10"/>
      <c r="AG325" s="10"/>
      <c r="AH325" s="10"/>
    </row>
    <row r="326" spans="1:34" ht="12.75">
      <c r="A326" s="1"/>
      <c r="B326" s="1"/>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10"/>
      <c r="AD326" s="10"/>
      <c r="AE326" s="10"/>
      <c r="AF326" s="10"/>
      <c r="AG326" s="10"/>
      <c r="AH326" s="10"/>
    </row>
    <row r="327" spans="1:34" ht="12.75">
      <c r="A327" s="1"/>
      <c r="B327" s="1"/>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10"/>
      <c r="AD327" s="10"/>
      <c r="AE327" s="10"/>
      <c r="AF327" s="10"/>
      <c r="AG327" s="10"/>
      <c r="AH327" s="10"/>
    </row>
    <row r="328" spans="1:34" ht="12.75">
      <c r="A328" s="1"/>
      <c r="B328" s="1"/>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10"/>
      <c r="AD328" s="10"/>
      <c r="AE328" s="10"/>
      <c r="AF328" s="10"/>
      <c r="AG328" s="10"/>
      <c r="AH328" s="10"/>
    </row>
    <row r="329" spans="1:34" ht="12.75">
      <c r="A329" s="1"/>
      <c r="B329" s="1"/>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10"/>
      <c r="AD329" s="10"/>
      <c r="AE329" s="10"/>
      <c r="AF329" s="10"/>
      <c r="AG329" s="10"/>
      <c r="AH329" s="10"/>
    </row>
    <row r="330" spans="1:34" ht="12.75">
      <c r="A330" s="1"/>
      <c r="B330" s="1"/>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10"/>
      <c r="AD330" s="10"/>
      <c r="AE330" s="10"/>
      <c r="AF330" s="10"/>
      <c r="AG330" s="10"/>
      <c r="AH330" s="10"/>
    </row>
    <row r="331" spans="1:34" ht="12.75">
      <c r="A331" s="1"/>
      <c r="B331" s="1"/>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10"/>
      <c r="AD331" s="10"/>
      <c r="AE331" s="10"/>
      <c r="AF331" s="10"/>
      <c r="AG331" s="10"/>
      <c r="AH331" s="10"/>
    </row>
    <row r="332" spans="1:34" ht="12.75">
      <c r="A332" s="1"/>
      <c r="B332" s="1"/>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10"/>
      <c r="AD332" s="10"/>
      <c r="AE332" s="10"/>
      <c r="AF332" s="10"/>
      <c r="AG332" s="10"/>
      <c r="AH332" s="10"/>
    </row>
    <row r="333" spans="1:34" ht="12.75">
      <c r="A333" s="1"/>
      <c r="B333" s="1"/>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10"/>
      <c r="AD333" s="10"/>
      <c r="AE333" s="10"/>
      <c r="AF333" s="10"/>
      <c r="AG333" s="10"/>
      <c r="AH333" s="10"/>
    </row>
    <row r="334" spans="1:34" ht="12.75">
      <c r="A334" s="1"/>
      <c r="B334" s="1"/>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10"/>
      <c r="AD334" s="10"/>
      <c r="AE334" s="10"/>
      <c r="AF334" s="10"/>
      <c r="AG334" s="10"/>
      <c r="AH334" s="10"/>
    </row>
    <row r="335" spans="1:34" ht="12.75">
      <c r="A335" s="1"/>
      <c r="B335" s="1"/>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10"/>
      <c r="AD335" s="10"/>
      <c r="AE335" s="10"/>
      <c r="AF335" s="10"/>
      <c r="AG335" s="10"/>
      <c r="AH335" s="10"/>
    </row>
    <row r="336" spans="1:34" ht="12.75">
      <c r="A336" s="1"/>
      <c r="B336" s="1"/>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10"/>
      <c r="AD336" s="10"/>
      <c r="AE336" s="10"/>
      <c r="AF336" s="10"/>
      <c r="AG336" s="10"/>
      <c r="AH336" s="10"/>
    </row>
    <row r="337" spans="1:34" ht="12.75">
      <c r="A337" s="1"/>
      <c r="B337" s="1"/>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10"/>
      <c r="AD337" s="10"/>
      <c r="AE337" s="10"/>
      <c r="AF337" s="10"/>
      <c r="AG337" s="10"/>
      <c r="AH337" s="10"/>
    </row>
    <row r="338" spans="1:34" ht="12.75">
      <c r="A338" s="1"/>
      <c r="B338" s="1"/>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10"/>
      <c r="AD338" s="10"/>
      <c r="AE338" s="10"/>
      <c r="AF338" s="10"/>
      <c r="AG338" s="10"/>
      <c r="AH338" s="10"/>
    </row>
    <row r="339" spans="1:34" ht="12.75">
      <c r="A339" s="1"/>
      <c r="B339" s="1"/>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10"/>
      <c r="AD339" s="10"/>
      <c r="AE339" s="10"/>
      <c r="AF339" s="10"/>
      <c r="AG339" s="10"/>
      <c r="AH339" s="10"/>
    </row>
    <row r="340" spans="1:34" ht="12.75">
      <c r="A340" s="1"/>
      <c r="B340" s="1"/>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10"/>
      <c r="AD340" s="10"/>
      <c r="AE340" s="10"/>
      <c r="AF340" s="10"/>
      <c r="AG340" s="10"/>
      <c r="AH340" s="10"/>
    </row>
    <row r="341" spans="1:34" ht="12.75">
      <c r="A341" s="1"/>
      <c r="B341" s="1"/>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10"/>
      <c r="AD341" s="10"/>
      <c r="AE341" s="10"/>
      <c r="AF341" s="10"/>
      <c r="AG341" s="10"/>
      <c r="AH341" s="10"/>
    </row>
    <row r="342" spans="1:34" ht="12.75">
      <c r="A342" s="1"/>
      <c r="B342" s="1"/>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10"/>
      <c r="AD342" s="10"/>
      <c r="AE342" s="10"/>
      <c r="AF342" s="10"/>
      <c r="AG342" s="10"/>
      <c r="AH342" s="10"/>
    </row>
    <row r="343" spans="1:34" ht="12.75">
      <c r="A343" s="1"/>
      <c r="B343" s="1"/>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10"/>
      <c r="AD343" s="10"/>
      <c r="AE343" s="10"/>
      <c r="AF343" s="10"/>
      <c r="AG343" s="10"/>
      <c r="AH343" s="10"/>
    </row>
    <row r="344" spans="1:34" ht="12.75">
      <c r="A344" s="1"/>
      <c r="B344" s="1"/>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10"/>
      <c r="AD344" s="10"/>
      <c r="AE344" s="10"/>
      <c r="AF344" s="10"/>
      <c r="AG344" s="10"/>
      <c r="AH344" s="10"/>
    </row>
    <row r="345" spans="1:34" ht="12.75">
      <c r="A345" s="1"/>
      <c r="B345" s="1"/>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10"/>
      <c r="AD345" s="10"/>
      <c r="AE345" s="10"/>
      <c r="AF345" s="10"/>
      <c r="AG345" s="10"/>
      <c r="AH345" s="10"/>
    </row>
    <row r="346" spans="1:34" ht="12.75">
      <c r="A346" s="1"/>
      <c r="B346" s="1"/>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10"/>
      <c r="AD346" s="10"/>
      <c r="AE346" s="10"/>
      <c r="AF346" s="10"/>
      <c r="AG346" s="10"/>
      <c r="AH346" s="10"/>
    </row>
    <row r="347" spans="1:34" ht="12.75">
      <c r="A347" s="1"/>
      <c r="B347" s="1"/>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10"/>
      <c r="AD347" s="10"/>
      <c r="AE347" s="10"/>
      <c r="AF347" s="10"/>
      <c r="AG347" s="10"/>
      <c r="AH347" s="10"/>
    </row>
    <row r="348" spans="1:34" ht="12.75">
      <c r="A348" s="1"/>
      <c r="B348" s="1"/>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10"/>
      <c r="AD348" s="10"/>
      <c r="AE348" s="10"/>
      <c r="AF348" s="10"/>
      <c r="AG348" s="10"/>
      <c r="AH348" s="10"/>
    </row>
    <row r="349" spans="1:34" ht="12.75">
      <c r="A349" s="1"/>
      <c r="B349" s="1"/>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10"/>
      <c r="AD349" s="10"/>
      <c r="AE349" s="10"/>
      <c r="AF349" s="10"/>
      <c r="AG349" s="10"/>
      <c r="AH349" s="10"/>
    </row>
    <row r="350" spans="1:34" ht="12.75">
      <c r="A350" s="1"/>
      <c r="B350" s="1"/>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10"/>
      <c r="AD350" s="10"/>
      <c r="AE350" s="10"/>
      <c r="AF350" s="10"/>
      <c r="AG350" s="10"/>
      <c r="AH350" s="10"/>
    </row>
    <row r="351" spans="1:34" ht="12.75">
      <c r="A351" s="1"/>
      <c r="B351" s="1"/>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10"/>
      <c r="AD351" s="10"/>
      <c r="AE351" s="10"/>
      <c r="AF351" s="10"/>
      <c r="AG351" s="10"/>
      <c r="AH351" s="10"/>
    </row>
    <row r="352" spans="1:34" ht="12.75">
      <c r="A352" s="1"/>
      <c r="B352" s="1"/>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10"/>
      <c r="AD352" s="10"/>
      <c r="AE352" s="10"/>
      <c r="AF352" s="10"/>
      <c r="AG352" s="10"/>
      <c r="AH352" s="10"/>
    </row>
    <row r="353" spans="1:34" ht="12.75">
      <c r="A353" s="1"/>
      <c r="B353" s="1"/>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10"/>
      <c r="AD353" s="10"/>
      <c r="AE353" s="10"/>
      <c r="AF353" s="10"/>
      <c r="AG353" s="10"/>
      <c r="AH353" s="10"/>
    </row>
    <row r="354" spans="1:34" ht="12.75">
      <c r="A354" s="1"/>
      <c r="B354" s="1"/>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10"/>
      <c r="AD354" s="10"/>
      <c r="AE354" s="10"/>
      <c r="AF354" s="10"/>
      <c r="AG354" s="10"/>
      <c r="AH354" s="10"/>
    </row>
    <row r="355" spans="1:34" ht="12.75">
      <c r="A355" s="1"/>
      <c r="B355" s="1"/>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10"/>
      <c r="AD355" s="10"/>
      <c r="AE355" s="10"/>
      <c r="AF355" s="10"/>
      <c r="AG355" s="10"/>
      <c r="AH355" s="10"/>
    </row>
    <row r="356" spans="1:34" ht="12.75">
      <c r="A356" s="1"/>
      <c r="B356" s="1"/>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10"/>
      <c r="AD356" s="10"/>
      <c r="AE356" s="10"/>
      <c r="AF356" s="10"/>
      <c r="AG356" s="10"/>
      <c r="AH356" s="10"/>
    </row>
    <row r="357" spans="1:34" ht="12.75">
      <c r="A357" s="1"/>
      <c r="B357" s="1"/>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10"/>
      <c r="AD357" s="10"/>
      <c r="AE357" s="10"/>
      <c r="AF357" s="10"/>
      <c r="AG357" s="10"/>
      <c r="AH357" s="10"/>
    </row>
    <row r="358" spans="1:34" ht="12.75">
      <c r="A358" s="1"/>
      <c r="B358" s="1"/>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10"/>
      <c r="AD358" s="10"/>
      <c r="AE358" s="10"/>
      <c r="AF358" s="10"/>
      <c r="AG358" s="10"/>
      <c r="AH358" s="10"/>
    </row>
    <row r="359" spans="1:34" ht="12.75">
      <c r="A359" s="1"/>
      <c r="B359" s="1"/>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10"/>
      <c r="AD359" s="10"/>
      <c r="AE359" s="10"/>
      <c r="AF359" s="10"/>
      <c r="AG359" s="10"/>
      <c r="AH359" s="10"/>
    </row>
    <row r="360" spans="1:34" ht="12.75">
      <c r="A360" s="1"/>
      <c r="B360" s="1"/>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10"/>
      <c r="AD360" s="10"/>
      <c r="AE360" s="10"/>
      <c r="AF360" s="10"/>
      <c r="AG360" s="10"/>
      <c r="AH360" s="10"/>
    </row>
    <row r="361" spans="1:34" ht="12.75">
      <c r="A361" s="1"/>
      <c r="B361" s="1"/>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10"/>
      <c r="AD361" s="10"/>
      <c r="AE361" s="10"/>
      <c r="AF361" s="10"/>
      <c r="AG361" s="10"/>
      <c r="AH361" s="10"/>
    </row>
    <row r="362" spans="1:34" ht="12.75">
      <c r="A362" s="1"/>
      <c r="B362" s="1"/>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10"/>
      <c r="AD362" s="10"/>
      <c r="AE362" s="10"/>
      <c r="AF362" s="10"/>
      <c r="AG362" s="10"/>
      <c r="AH362" s="10"/>
    </row>
    <row r="363" spans="1:34" ht="12.75">
      <c r="A363" s="1"/>
      <c r="B363" s="1"/>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10"/>
      <c r="AD363" s="10"/>
      <c r="AE363" s="10"/>
      <c r="AF363" s="10"/>
      <c r="AG363" s="10"/>
      <c r="AH363" s="10"/>
    </row>
    <row r="364" spans="1:34" ht="12.75">
      <c r="A364" s="1"/>
      <c r="B364" s="1"/>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10"/>
      <c r="AD364" s="10"/>
      <c r="AE364" s="10"/>
      <c r="AF364" s="10"/>
      <c r="AG364" s="10"/>
      <c r="AH364" s="10"/>
    </row>
    <row r="365" spans="1:34" ht="12.75">
      <c r="A365" s="1"/>
      <c r="B365" s="1"/>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10"/>
      <c r="AD365" s="10"/>
      <c r="AE365" s="10"/>
      <c r="AF365" s="10"/>
      <c r="AG365" s="10"/>
      <c r="AH365" s="10"/>
    </row>
    <row r="366" spans="1:34" ht="12.75">
      <c r="A366" s="1"/>
      <c r="B366" s="1"/>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10"/>
      <c r="AD366" s="10"/>
      <c r="AE366" s="10"/>
      <c r="AF366" s="10"/>
      <c r="AG366" s="10"/>
      <c r="AH366" s="10"/>
    </row>
    <row r="367" spans="1:34" ht="12.75">
      <c r="A367" s="1"/>
      <c r="B367" s="1"/>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10"/>
      <c r="AD367" s="10"/>
      <c r="AE367" s="10"/>
      <c r="AF367" s="10"/>
      <c r="AG367" s="10"/>
      <c r="AH367" s="10"/>
    </row>
    <row r="368" spans="1:34" ht="12.75">
      <c r="A368" s="1"/>
      <c r="B368" s="1"/>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10"/>
      <c r="AD368" s="10"/>
      <c r="AE368" s="10"/>
      <c r="AF368" s="10"/>
      <c r="AG368" s="10"/>
      <c r="AH368" s="10"/>
    </row>
    <row r="369" spans="1:34" ht="12.75">
      <c r="A369" s="1"/>
      <c r="B369" s="1"/>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10"/>
      <c r="AD369" s="10"/>
      <c r="AE369" s="10"/>
      <c r="AF369" s="10"/>
      <c r="AG369" s="10"/>
      <c r="AH369" s="10"/>
    </row>
    <row r="370" spans="1:34" ht="12.75">
      <c r="A370" s="1"/>
      <c r="B370" s="1"/>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10"/>
      <c r="AD370" s="10"/>
      <c r="AE370" s="10"/>
      <c r="AF370" s="10"/>
      <c r="AG370" s="10"/>
      <c r="AH370" s="10"/>
    </row>
    <row r="371" spans="1:34" ht="12.75">
      <c r="A371" s="1"/>
      <c r="B371" s="1"/>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10"/>
      <c r="AD371" s="10"/>
      <c r="AE371" s="10"/>
      <c r="AF371" s="10"/>
      <c r="AG371" s="10"/>
      <c r="AH371" s="10"/>
    </row>
    <row r="372" spans="1:34" ht="12.75">
      <c r="A372" s="1"/>
      <c r="B372" s="1"/>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10"/>
      <c r="AD372" s="10"/>
      <c r="AE372" s="10"/>
      <c r="AF372" s="10"/>
      <c r="AG372" s="10"/>
      <c r="AH372" s="10"/>
    </row>
    <row r="373" spans="1:34" ht="12.75">
      <c r="A373" s="1"/>
      <c r="B373" s="1"/>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10"/>
      <c r="AD373" s="10"/>
      <c r="AE373" s="10"/>
      <c r="AF373" s="10"/>
      <c r="AG373" s="10"/>
      <c r="AH373" s="10"/>
    </row>
    <row r="374" spans="1:34" ht="12.75">
      <c r="A374" s="1"/>
      <c r="B374" s="1"/>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10"/>
      <c r="AD374" s="10"/>
      <c r="AE374" s="10"/>
      <c r="AF374" s="10"/>
      <c r="AG374" s="10"/>
      <c r="AH374" s="10"/>
    </row>
    <row r="375" spans="1:34" ht="12.75">
      <c r="A375" s="1"/>
      <c r="B375" s="1"/>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10"/>
      <c r="AD375" s="10"/>
      <c r="AE375" s="10"/>
      <c r="AF375" s="10"/>
      <c r="AG375" s="10"/>
      <c r="AH375" s="10"/>
    </row>
    <row r="376" spans="1:34" ht="12.75">
      <c r="A376" s="1"/>
      <c r="B376" s="1"/>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10"/>
      <c r="AD376" s="10"/>
      <c r="AE376" s="10"/>
      <c r="AF376" s="10"/>
      <c r="AG376" s="10"/>
      <c r="AH376" s="10"/>
    </row>
    <row r="377" spans="1:34" ht="12.75">
      <c r="A377" s="1"/>
      <c r="B377" s="1"/>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10"/>
      <c r="AD377" s="10"/>
      <c r="AE377" s="10"/>
      <c r="AF377" s="10"/>
      <c r="AG377" s="10"/>
      <c r="AH377" s="10"/>
    </row>
    <row r="378" spans="1:34" ht="12.75">
      <c r="A378" s="1"/>
      <c r="B378" s="1"/>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10"/>
      <c r="AD378" s="10"/>
      <c r="AE378" s="10"/>
      <c r="AF378" s="10"/>
      <c r="AG378" s="10"/>
      <c r="AH378" s="10"/>
    </row>
    <row r="379" spans="1:34" ht="12.75">
      <c r="A379" s="1"/>
      <c r="B379" s="1"/>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10"/>
      <c r="AD379" s="10"/>
      <c r="AE379" s="10"/>
      <c r="AF379" s="10"/>
      <c r="AG379" s="10"/>
      <c r="AH379" s="10"/>
    </row>
    <row r="380" spans="1:34" ht="12.75">
      <c r="A380" s="1"/>
      <c r="B380" s="1"/>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10"/>
      <c r="AD380" s="10"/>
      <c r="AE380" s="10"/>
      <c r="AF380" s="10"/>
      <c r="AG380" s="10"/>
      <c r="AH380" s="10"/>
    </row>
    <row r="381" spans="1:34" ht="12.75">
      <c r="A381" s="1"/>
      <c r="B381" s="1"/>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10"/>
      <c r="AD381" s="10"/>
      <c r="AE381" s="10"/>
      <c r="AF381" s="10"/>
      <c r="AG381" s="10"/>
      <c r="AH381" s="10"/>
    </row>
    <row r="382" spans="1:34" ht="12.75">
      <c r="A382" s="1"/>
      <c r="B382" s="1"/>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10"/>
      <c r="AD382" s="10"/>
      <c r="AE382" s="10"/>
      <c r="AF382" s="10"/>
      <c r="AG382" s="10"/>
      <c r="AH382" s="10"/>
    </row>
    <row r="383" spans="1:34" ht="12.75">
      <c r="A383" s="1"/>
      <c r="B383" s="1"/>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10"/>
      <c r="AD383" s="10"/>
      <c r="AE383" s="10"/>
      <c r="AF383" s="10"/>
      <c r="AG383" s="10"/>
      <c r="AH383" s="10"/>
    </row>
    <row r="384" spans="1:34" ht="12.75">
      <c r="A384" s="1"/>
      <c r="B384" s="1"/>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10"/>
      <c r="AD384" s="10"/>
      <c r="AE384" s="10"/>
      <c r="AF384" s="10"/>
      <c r="AG384" s="10"/>
      <c r="AH384" s="10"/>
    </row>
    <row r="385" spans="1:34" ht="12.75">
      <c r="A385" s="1"/>
      <c r="B385" s="1"/>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10"/>
      <c r="AD385" s="10"/>
      <c r="AE385" s="10"/>
      <c r="AF385" s="10"/>
      <c r="AG385" s="10"/>
      <c r="AH385" s="10"/>
    </row>
    <row r="386" spans="1:34" ht="12.75">
      <c r="A386" s="1"/>
      <c r="B386" s="1"/>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10"/>
      <c r="AD386" s="10"/>
      <c r="AE386" s="10"/>
      <c r="AF386" s="10"/>
      <c r="AG386" s="10"/>
      <c r="AH386" s="10"/>
    </row>
    <row r="387" spans="1:34" ht="12.75">
      <c r="A387" s="1"/>
      <c r="B387" s="1"/>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10"/>
      <c r="AD387" s="10"/>
      <c r="AE387" s="10"/>
      <c r="AF387" s="10"/>
      <c r="AG387" s="10"/>
      <c r="AH387" s="10"/>
    </row>
    <row r="388" spans="1:34" ht="12.75">
      <c r="A388" s="1"/>
      <c r="B388" s="1"/>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10"/>
      <c r="AD388" s="10"/>
      <c r="AE388" s="10"/>
      <c r="AF388" s="10"/>
      <c r="AG388" s="10"/>
      <c r="AH388" s="10"/>
    </row>
    <row r="389" spans="1:34" ht="12.75">
      <c r="A389" s="1"/>
      <c r="B389" s="1"/>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10"/>
      <c r="AD389" s="10"/>
      <c r="AE389" s="10"/>
      <c r="AF389" s="10"/>
      <c r="AG389" s="10"/>
      <c r="AH389" s="10"/>
    </row>
    <row r="390" spans="1:34" ht="12.75">
      <c r="A390" s="1"/>
      <c r="B390" s="1"/>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10"/>
      <c r="AD390" s="10"/>
      <c r="AE390" s="10"/>
      <c r="AF390" s="10"/>
      <c r="AG390" s="10"/>
      <c r="AH390" s="10"/>
    </row>
    <row r="391" spans="1:34" ht="12.75">
      <c r="A391" s="1"/>
      <c r="B391" s="1"/>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10"/>
      <c r="AD391" s="10"/>
      <c r="AE391" s="10"/>
      <c r="AF391" s="10"/>
      <c r="AG391" s="10"/>
      <c r="AH391" s="10"/>
    </row>
    <row r="392" spans="1:34" ht="12.75">
      <c r="A392" s="1"/>
      <c r="B392" s="1"/>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10"/>
      <c r="AD392" s="10"/>
      <c r="AE392" s="10"/>
      <c r="AF392" s="10"/>
      <c r="AG392" s="10"/>
      <c r="AH392" s="10"/>
    </row>
    <row r="393" spans="1:34" ht="12.75">
      <c r="A393" s="1"/>
      <c r="B393" s="1"/>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10"/>
      <c r="AD393" s="10"/>
      <c r="AE393" s="10"/>
      <c r="AF393" s="10"/>
      <c r="AG393" s="10"/>
      <c r="AH393" s="10"/>
    </row>
    <row r="394" spans="1:34" ht="12.75">
      <c r="A394" s="1"/>
      <c r="B394" s="1"/>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10"/>
      <c r="AD394" s="10"/>
      <c r="AE394" s="10"/>
      <c r="AF394" s="10"/>
      <c r="AG394" s="10"/>
      <c r="AH394" s="10"/>
    </row>
    <row r="395" spans="1:34" ht="12.75">
      <c r="A395" s="1"/>
      <c r="B395" s="1"/>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10"/>
      <c r="AD395" s="10"/>
      <c r="AE395" s="10"/>
      <c r="AF395" s="10"/>
      <c r="AG395" s="10"/>
      <c r="AH395" s="10"/>
    </row>
    <row r="396" spans="1:34" ht="12.75">
      <c r="A396" s="1"/>
      <c r="B396" s="1"/>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10"/>
      <c r="AD396" s="10"/>
      <c r="AE396" s="10"/>
      <c r="AF396" s="10"/>
      <c r="AG396" s="10"/>
      <c r="AH396" s="10"/>
    </row>
    <row r="397" spans="1:34" ht="12.75">
      <c r="A397" s="1"/>
      <c r="B397" s="1"/>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10"/>
      <c r="AD397" s="10"/>
      <c r="AE397" s="10"/>
      <c r="AF397" s="10"/>
      <c r="AG397" s="10"/>
      <c r="AH397" s="10"/>
    </row>
    <row r="398" spans="1:34" ht="12.75">
      <c r="A398" s="1"/>
      <c r="B398" s="1"/>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10"/>
      <c r="AD398" s="10"/>
      <c r="AE398" s="10"/>
      <c r="AF398" s="10"/>
      <c r="AG398" s="10"/>
      <c r="AH398" s="10"/>
    </row>
    <row r="399" spans="1:34" ht="12.75">
      <c r="A399" s="1"/>
      <c r="B399" s="1"/>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10"/>
      <c r="AD399" s="10"/>
      <c r="AE399" s="10"/>
      <c r="AF399" s="10"/>
      <c r="AG399" s="10"/>
      <c r="AH399" s="10"/>
    </row>
    <row r="400" spans="1:34" ht="12.75">
      <c r="A400" s="1"/>
      <c r="B400" s="1"/>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10"/>
      <c r="AD400" s="10"/>
      <c r="AE400" s="10"/>
      <c r="AF400" s="10"/>
      <c r="AG400" s="10"/>
      <c r="AH400" s="10"/>
    </row>
    <row r="401" spans="1:34" ht="12.75">
      <c r="A401" s="1"/>
      <c r="B401" s="1"/>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10"/>
      <c r="AD401" s="10"/>
      <c r="AE401" s="10"/>
      <c r="AF401" s="10"/>
      <c r="AG401" s="10"/>
      <c r="AH401" s="10"/>
    </row>
    <row r="402" spans="1:34" ht="12.75">
      <c r="A402" s="1"/>
      <c r="B402" s="1"/>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10"/>
      <c r="AD402" s="10"/>
      <c r="AE402" s="10"/>
      <c r="AF402" s="10"/>
      <c r="AG402" s="10"/>
      <c r="AH402" s="10"/>
    </row>
    <row r="403" spans="1:34" ht="12.75">
      <c r="A403" s="1"/>
      <c r="B403" s="1"/>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10"/>
      <c r="AD403" s="10"/>
      <c r="AE403" s="10"/>
      <c r="AF403" s="10"/>
      <c r="AG403" s="10"/>
      <c r="AH403" s="10"/>
    </row>
    <row r="404" spans="1:34" ht="12.75">
      <c r="A404" s="1"/>
      <c r="B404" s="1"/>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10"/>
      <c r="AD404" s="10"/>
      <c r="AE404" s="10"/>
      <c r="AF404" s="10"/>
      <c r="AG404" s="10"/>
      <c r="AH404" s="10"/>
    </row>
    <row r="405" spans="1:34" ht="12.75">
      <c r="A405" s="1"/>
      <c r="B405" s="1"/>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10"/>
      <c r="AD405" s="10"/>
      <c r="AE405" s="10"/>
      <c r="AF405" s="10"/>
      <c r="AG405" s="10"/>
      <c r="AH405" s="10"/>
    </row>
    <row r="406" spans="1:34" ht="12.75">
      <c r="A406" s="1"/>
      <c r="B406" s="1"/>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10"/>
      <c r="AD406" s="10"/>
      <c r="AE406" s="10"/>
      <c r="AF406" s="10"/>
      <c r="AG406" s="10"/>
      <c r="AH406" s="10"/>
    </row>
    <row r="407" spans="1:34" ht="12.75">
      <c r="A407" s="1"/>
      <c r="B407" s="1"/>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10"/>
      <c r="AD407" s="10"/>
      <c r="AE407" s="10"/>
      <c r="AF407" s="10"/>
      <c r="AG407" s="10"/>
      <c r="AH407" s="10"/>
    </row>
    <row r="408" spans="1:34" ht="12.75">
      <c r="A408" s="1"/>
      <c r="B408" s="1"/>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10"/>
      <c r="AD408" s="10"/>
      <c r="AE408" s="10"/>
      <c r="AF408" s="10"/>
      <c r="AG408" s="10"/>
      <c r="AH408" s="10"/>
    </row>
    <row r="409" spans="1:34" ht="12.75">
      <c r="A409" s="1"/>
      <c r="B409" s="1"/>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10"/>
      <c r="AD409" s="10"/>
      <c r="AE409" s="10"/>
      <c r="AF409" s="10"/>
      <c r="AG409" s="10"/>
      <c r="AH409" s="10"/>
    </row>
    <row r="410" spans="1:34" ht="12.75">
      <c r="A410" s="1"/>
      <c r="B410" s="1"/>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10"/>
      <c r="AD410" s="10"/>
      <c r="AE410" s="10"/>
      <c r="AF410" s="10"/>
      <c r="AG410" s="10"/>
      <c r="AH410" s="10"/>
    </row>
    <row r="411" spans="1:34" ht="12.75">
      <c r="A411" s="1"/>
      <c r="B411" s="1"/>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10"/>
      <c r="AD411" s="10"/>
      <c r="AE411" s="10"/>
      <c r="AF411" s="10"/>
      <c r="AG411" s="10"/>
      <c r="AH411" s="10"/>
    </row>
    <row r="412" spans="1:34" ht="12.75">
      <c r="A412" s="1"/>
      <c r="B412" s="1"/>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10"/>
      <c r="AD412" s="10"/>
      <c r="AE412" s="10"/>
      <c r="AF412" s="10"/>
      <c r="AG412" s="10"/>
      <c r="AH412" s="10"/>
    </row>
    <row r="413" spans="1:34" ht="12.75">
      <c r="A413" s="1"/>
      <c r="B413" s="1"/>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10"/>
      <c r="AD413" s="10"/>
      <c r="AE413" s="10"/>
      <c r="AF413" s="10"/>
      <c r="AG413" s="10"/>
      <c r="AH413" s="10"/>
    </row>
    <row r="414" spans="1:34" ht="12.75">
      <c r="A414" s="1"/>
      <c r="B414" s="1"/>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10"/>
      <c r="AD414" s="10"/>
      <c r="AE414" s="10"/>
      <c r="AF414" s="10"/>
      <c r="AG414" s="10"/>
      <c r="AH414" s="10"/>
    </row>
    <row r="415" spans="1:34" ht="12.75">
      <c r="A415" s="1"/>
      <c r="B415" s="1"/>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10"/>
      <c r="AD415" s="10"/>
      <c r="AE415" s="10"/>
      <c r="AF415" s="10"/>
      <c r="AG415" s="10"/>
      <c r="AH415" s="10"/>
    </row>
    <row r="416" spans="1:34" ht="12.75">
      <c r="A416" s="1"/>
      <c r="B416" s="1"/>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10"/>
      <c r="AD416" s="10"/>
      <c r="AE416" s="10"/>
      <c r="AF416" s="10"/>
      <c r="AG416" s="10"/>
      <c r="AH416" s="10"/>
    </row>
    <row r="417" spans="1:34" ht="12.75">
      <c r="A417" s="1"/>
      <c r="B417" s="1"/>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10"/>
      <c r="AD417" s="10"/>
      <c r="AE417" s="10"/>
      <c r="AF417" s="10"/>
      <c r="AG417" s="10"/>
      <c r="AH417" s="10"/>
    </row>
    <row r="418" spans="1:34" ht="12.75">
      <c r="A418" s="1"/>
      <c r="B418" s="1"/>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10"/>
      <c r="AD418" s="10"/>
      <c r="AE418" s="10"/>
      <c r="AF418" s="10"/>
      <c r="AG418" s="10"/>
      <c r="AH418" s="10"/>
    </row>
    <row r="419" spans="1:34" ht="12.75">
      <c r="A419" s="1"/>
      <c r="B419" s="1"/>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10"/>
      <c r="AD419" s="10"/>
      <c r="AE419" s="10"/>
      <c r="AF419" s="10"/>
      <c r="AG419" s="10"/>
      <c r="AH419" s="10"/>
    </row>
    <row r="420" spans="1:34" ht="12.75">
      <c r="A420" s="1"/>
      <c r="B420" s="1"/>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10"/>
      <c r="AD420" s="10"/>
      <c r="AE420" s="10"/>
      <c r="AF420" s="10"/>
      <c r="AG420" s="10"/>
      <c r="AH420" s="10"/>
    </row>
    <row r="421" spans="1:34" ht="12.75">
      <c r="A421" s="1"/>
      <c r="B421" s="1"/>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10"/>
      <c r="AD421" s="10"/>
      <c r="AE421" s="10"/>
      <c r="AF421" s="10"/>
      <c r="AG421" s="10"/>
      <c r="AH421" s="10"/>
    </row>
    <row r="422" spans="1:34" ht="12.75">
      <c r="A422" s="1"/>
      <c r="B422" s="1"/>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10"/>
      <c r="AD422" s="10"/>
      <c r="AE422" s="10"/>
      <c r="AF422" s="10"/>
      <c r="AG422" s="10"/>
      <c r="AH422" s="10"/>
    </row>
    <row r="423" spans="1:34" ht="12.75">
      <c r="A423" s="1"/>
      <c r="B423" s="1"/>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10"/>
      <c r="AD423" s="10"/>
      <c r="AE423" s="10"/>
      <c r="AF423" s="10"/>
      <c r="AG423" s="10"/>
      <c r="AH423" s="10"/>
    </row>
    <row r="424" spans="1:34" ht="12.75">
      <c r="A424" s="1"/>
      <c r="B424" s="1"/>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10"/>
      <c r="AD424" s="10"/>
      <c r="AE424" s="10"/>
      <c r="AF424" s="10"/>
      <c r="AG424" s="10"/>
      <c r="AH424" s="10"/>
    </row>
    <row r="425" spans="1:34" ht="12.75">
      <c r="A425" s="1"/>
      <c r="B425" s="1"/>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10"/>
      <c r="AD425" s="10"/>
      <c r="AE425" s="10"/>
      <c r="AF425" s="10"/>
      <c r="AG425" s="10"/>
      <c r="AH425" s="10"/>
    </row>
    <row r="426" spans="1:34" ht="12.75">
      <c r="A426" s="1"/>
      <c r="B426" s="1"/>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10"/>
      <c r="AD426" s="10"/>
      <c r="AE426" s="10"/>
      <c r="AF426" s="10"/>
      <c r="AG426" s="10"/>
      <c r="AH426" s="10"/>
    </row>
    <row r="427" spans="1:34" ht="12.75">
      <c r="A427" s="1"/>
      <c r="B427" s="1"/>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10"/>
      <c r="AD427" s="10"/>
      <c r="AE427" s="10"/>
      <c r="AF427" s="10"/>
      <c r="AG427" s="10"/>
      <c r="AH427" s="10"/>
    </row>
    <row r="428" spans="1:34" ht="12.75">
      <c r="A428" s="1"/>
      <c r="B428" s="1"/>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10"/>
      <c r="AD428" s="10"/>
      <c r="AE428" s="10"/>
      <c r="AF428" s="10"/>
      <c r="AG428" s="10"/>
      <c r="AH428" s="10"/>
    </row>
    <row r="429" spans="1:34" ht="12.75">
      <c r="A429" s="1"/>
      <c r="B429" s="1"/>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10"/>
      <c r="AD429" s="10"/>
      <c r="AE429" s="10"/>
      <c r="AF429" s="10"/>
      <c r="AG429" s="10"/>
      <c r="AH429" s="10"/>
    </row>
    <row r="430" spans="1:34" ht="12.75">
      <c r="A430" s="1"/>
      <c r="B430" s="1"/>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10"/>
      <c r="AD430" s="10"/>
      <c r="AE430" s="10"/>
      <c r="AF430" s="10"/>
      <c r="AG430" s="10"/>
      <c r="AH430" s="10"/>
    </row>
    <row r="431" spans="1:34" ht="12.75">
      <c r="A431" s="1"/>
      <c r="B431" s="1"/>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10"/>
      <c r="AD431" s="10"/>
      <c r="AE431" s="10"/>
      <c r="AF431" s="10"/>
      <c r="AG431" s="10"/>
      <c r="AH431" s="10"/>
    </row>
    <row r="432" spans="1:34" ht="12.75">
      <c r="A432" s="1"/>
      <c r="B432" s="1"/>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10"/>
      <c r="AD432" s="10"/>
      <c r="AE432" s="10"/>
      <c r="AF432" s="10"/>
      <c r="AG432" s="10"/>
      <c r="AH432" s="10"/>
    </row>
    <row r="433" spans="1:34" ht="12.75">
      <c r="A433" s="1"/>
      <c r="B433" s="1"/>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10"/>
      <c r="AD433" s="10"/>
      <c r="AE433" s="10"/>
      <c r="AF433" s="10"/>
      <c r="AG433" s="10"/>
      <c r="AH433" s="10"/>
    </row>
    <row r="434" spans="1:34" ht="12.75">
      <c r="A434" s="1"/>
      <c r="B434" s="1"/>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10"/>
      <c r="AD434" s="10"/>
      <c r="AE434" s="10"/>
      <c r="AF434" s="10"/>
      <c r="AG434" s="10"/>
      <c r="AH434" s="10"/>
    </row>
    <row r="435" spans="1:34" ht="12.75">
      <c r="A435" s="1"/>
      <c r="B435" s="1"/>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10"/>
      <c r="AD435" s="10"/>
      <c r="AE435" s="10"/>
      <c r="AF435" s="10"/>
      <c r="AG435" s="10"/>
      <c r="AH435" s="10"/>
    </row>
    <row r="436" spans="1:34" ht="12.75">
      <c r="A436" s="1"/>
      <c r="B436" s="1"/>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10"/>
      <c r="AD436" s="10"/>
      <c r="AE436" s="10"/>
      <c r="AF436" s="10"/>
      <c r="AG436" s="10"/>
      <c r="AH436" s="10"/>
    </row>
    <row r="437" spans="1:34" ht="12.75">
      <c r="A437" s="1"/>
      <c r="B437" s="1"/>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10"/>
      <c r="AD437" s="10"/>
      <c r="AE437" s="10"/>
      <c r="AF437" s="10"/>
      <c r="AG437" s="10"/>
      <c r="AH437" s="10"/>
    </row>
    <row r="438" spans="1:34" ht="12.75">
      <c r="A438" s="1"/>
      <c r="B438" s="1"/>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10"/>
      <c r="AD438" s="10"/>
      <c r="AE438" s="10"/>
      <c r="AF438" s="10"/>
      <c r="AG438" s="10"/>
      <c r="AH438" s="10"/>
    </row>
    <row r="439" spans="1:34" ht="12.75">
      <c r="A439" s="1"/>
      <c r="B439" s="1"/>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10"/>
      <c r="AD439" s="10"/>
      <c r="AE439" s="10"/>
      <c r="AF439" s="10"/>
      <c r="AG439" s="10"/>
      <c r="AH439" s="10"/>
    </row>
    <row r="440" spans="1:34" ht="12.75">
      <c r="A440" s="1"/>
      <c r="B440" s="1"/>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10"/>
      <c r="AD440" s="10"/>
      <c r="AE440" s="10"/>
      <c r="AF440" s="10"/>
      <c r="AG440" s="10"/>
      <c r="AH440" s="10"/>
    </row>
    <row r="441" spans="1:34" ht="12.75">
      <c r="A441" s="1"/>
      <c r="B441" s="1"/>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10"/>
      <c r="AD441" s="10"/>
      <c r="AE441" s="10"/>
      <c r="AF441" s="10"/>
      <c r="AG441" s="10"/>
      <c r="AH441" s="10"/>
    </row>
    <row r="442" spans="1:34" ht="12.75">
      <c r="A442" s="1"/>
      <c r="B442" s="1"/>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10"/>
      <c r="AD442" s="10"/>
      <c r="AE442" s="10"/>
      <c r="AF442" s="10"/>
      <c r="AG442" s="10"/>
      <c r="AH442" s="10"/>
    </row>
    <row r="443" spans="1:34" ht="12.75">
      <c r="A443" s="1"/>
      <c r="B443" s="1"/>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10"/>
      <c r="AD443" s="10"/>
      <c r="AE443" s="10"/>
      <c r="AF443" s="10"/>
      <c r="AG443" s="10"/>
      <c r="AH443" s="10"/>
    </row>
    <row r="444" spans="1:34" ht="12.75">
      <c r="A444" s="1"/>
      <c r="B444" s="1"/>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10"/>
      <c r="AD444" s="10"/>
      <c r="AE444" s="10"/>
      <c r="AF444" s="10"/>
      <c r="AG444" s="10"/>
      <c r="AH444" s="10"/>
    </row>
    <row r="445" spans="1:34" ht="12.75">
      <c r="A445" s="1"/>
      <c r="B445" s="1"/>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10"/>
      <c r="AD445" s="10"/>
      <c r="AE445" s="10"/>
      <c r="AF445" s="10"/>
      <c r="AG445" s="10"/>
      <c r="AH445" s="10"/>
    </row>
    <row r="446" spans="1:34" ht="12.75">
      <c r="A446" s="1"/>
      <c r="B446" s="1"/>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10"/>
      <c r="AD446" s="10"/>
      <c r="AE446" s="10"/>
      <c r="AF446" s="10"/>
      <c r="AG446" s="10"/>
      <c r="AH446" s="10"/>
    </row>
    <row r="447" spans="1:34" ht="12.75">
      <c r="A447" s="1"/>
      <c r="B447" s="1"/>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10"/>
      <c r="AD447" s="10"/>
      <c r="AE447" s="10"/>
      <c r="AF447" s="10"/>
      <c r="AG447" s="10"/>
      <c r="AH447" s="10"/>
    </row>
    <row r="448" spans="1:34" ht="12.75">
      <c r="A448" s="1"/>
      <c r="B448" s="1"/>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10"/>
      <c r="AD448" s="10"/>
      <c r="AE448" s="10"/>
      <c r="AF448" s="10"/>
      <c r="AG448" s="10"/>
      <c r="AH448" s="10"/>
    </row>
    <row r="449" spans="1:34" ht="12.75">
      <c r="A449" s="1"/>
      <c r="B449" s="1"/>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10"/>
      <c r="AD449" s="10"/>
      <c r="AE449" s="10"/>
      <c r="AF449" s="10"/>
      <c r="AG449" s="10"/>
      <c r="AH449" s="10"/>
    </row>
    <row r="450" spans="1:34" ht="12.75">
      <c r="A450" s="1"/>
      <c r="B450" s="1"/>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10"/>
      <c r="AD450" s="10"/>
      <c r="AE450" s="10"/>
      <c r="AF450" s="10"/>
      <c r="AG450" s="10"/>
      <c r="AH450" s="10"/>
    </row>
    <row r="451" spans="1:34" ht="12.75">
      <c r="A451" s="1"/>
      <c r="B451" s="1"/>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10"/>
      <c r="AD451" s="10"/>
      <c r="AE451" s="10"/>
      <c r="AF451" s="10"/>
      <c r="AG451" s="10"/>
      <c r="AH451" s="10"/>
    </row>
    <row r="452" spans="1:34" ht="12.75">
      <c r="A452" s="1"/>
      <c r="B452" s="1"/>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10"/>
      <c r="AD452" s="10"/>
      <c r="AE452" s="10"/>
      <c r="AF452" s="10"/>
      <c r="AG452" s="10"/>
      <c r="AH452" s="10"/>
    </row>
    <row r="453" spans="1:34" ht="12.75">
      <c r="A453" s="1"/>
      <c r="B453" s="1"/>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10"/>
      <c r="AD453" s="10"/>
      <c r="AE453" s="10"/>
      <c r="AF453" s="10"/>
      <c r="AG453" s="10"/>
      <c r="AH453" s="10"/>
    </row>
    <row r="454" spans="1:34" ht="12.75">
      <c r="A454" s="1"/>
      <c r="B454" s="1"/>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10"/>
      <c r="AD454" s="10"/>
      <c r="AE454" s="10"/>
      <c r="AF454" s="10"/>
      <c r="AG454" s="10"/>
      <c r="AH454" s="10"/>
    </row>
    <row r="455" spans="1:34" ht="12.75">
      <c r="A455" s="1"/>
      <c r="B455" s="1"/>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10"/>
      <c r="AD455" s="10"/>
      <c r="AE455" s="10"/>
      <c r="AF455" s="10"/>
      <c r="AG455" s="10"/>
      <c r="AH455" s="10"/>
    </row>
    <row r="456" spans="1:34" ht="12.75">
      <c r="A456" s="1"/>
      <c r="B456" s="1"/>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10"/>
      <c r="AD456" s="10"/>
      <c r="AE456" s="10"/>
      <c r="AF456" s="10"/>
      <c r="AG456" s="10"/>
      <c r="AH456" s="10"/>
    </row>
    <row r="457" spans="1:34" ht="12.75">
      <c r="A457" s="1"/>
      <c r="B457" s="1"/>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10"/>
      <c r="AD457" s="10"/>
      <c r="AE457" s="10"/>
      <c r="AF457" s="10"/>
      <c r="AG457" s="10"/>
      <c r="AH457" s="10"/>
    </row>
    <row r="458" spans="1:34" ht="12.75">
      <c r="A458" s="1"/>
      <c r="B458" s="1"/>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10"/>
      <c r="AD458" s="10"/>
      <c r="AE458" s="10"/>
      <c r="AF458" s="10"/>
      <c r="AG458" s="10"/>
      <c r="AH458" s="10"/>
    </row>
    <row r="459" spans="1:34" ht="12.75">
      <c r="A459" s="1"/>
      <c r="B459" s="1"/>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10"/>
      <c r="AD459" s="10"/>
      <c r="AE459" s="10"/>
      <c r="AF459" s="10"/>
      <c r="AG459" s="10"/>
      <c r="AH459" s="10"/>
    </row>
    <row r="460" spans="1:34" ht="12.75">
      <c r="A460" s="1"/>
      <c r="B460" s="1"/>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10"/>
      <c r="AD460" s="10"/>
      <c r="AE460" s="10"/>
      <c r="AF460" s="10"/>
      <c r="AG460" s="10"/>
      <c r="AH460" s="10"/>
    </row>
    <row r="461" spans="1:34" ht="12.75">
      <c r="A461" s="1"/>
      <c r="B461" s="1"/>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10"/>
      <c r="AD461" s="10"/>
      <c r="AE461" s="10"/>
      <c r="AF461" s="10"/>
      <c r="AG461" s="10"/>
      <c r="AH461" s="10"/>
    </row>
    <row r="462" spans="1:34" ht="12.75">
      <c r="A462" s="1"/>
      <c r="B462" s="1"/>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10"/>
      <c r="AD462" s="10"/>
      <c r="AE462" s="10"/>
      <c r="AF462" s="10"/>
      <c r="AG462" s="10"/>
      <c r="AH462" s="10"/>
    </row>
    <row r="463" spans="1:34" ht="12.75">
      <c r="A463" s="1"/>
      <c r="B463" s="1"/>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10"/>
      <c r="AD463" s="10"/>
      <c r="AE463" s="10"/>
      <c r="AF463" s="10"/>
      <c r="AG463" s="10"/>
      <c r="AH463" s="10"/>
    </row>
    <row r="464" spans="1:34" ht="12.75">
      <c r="A464" s="1"/>
      <c r="B464" s="1"/>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10"/>
      <c r="AD464" s="10"/>
      <c r="AE464" s="10"/>
      <c r="AF464" s="10"/>
      <c r="AG464" s="10"/>
      <c r="AH464" s="10"/>
    </row>
    <row r="465" spans="1:34" ht="12.75">
      <c r="A465" s="1"/>
      <c r="B465" s="1"/>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10"/>
      <c r="AD465" s="10"/>
      <c r="AE465" s="10"/>
      <c r="AF465" s="10"/>
      <c r="AG465" s="10"/>
      <c r="AH465" s="10"/>
    </row>
    <row r="466" spans="1:34" ht="12.75">
      <c r="A466" s="1"/>
      <c r="B466" s="1"/>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10"/>
      <c r="AD466" s="10"/>
      <c r="AE466" s="10"/>
      <c r="AF466" s="10"/>
      <c r="AG466" s="10"/>
      <c r="AH466" s="10"/>
    </row>
    <row r="467" spans="1:34" ht="12.75">
      <c r="A467" s="1"/>
      <c r="B467" s="1"/>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10"/>
      <c r="AD467" s="10"/>
      <c r="AE467" s="10"/>
      <c r="AF467" s="10"/>
      <c r="AG467" s="10"/>
      <c r="AH467" s="10"/>
    </row>
    <row r="468" spans="1:34" ht="12.75">
      <c r="A468" s="1"/>
      <c r="B468" s="1"/>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10"/>
      <c r="AD468" s="10"/>
      <c r="AE468" s="10"/>
      <c r="AF468" s="10"/>
      <c r="AG468" s="10"/>
      <c r="AH468" s="10"/>
    </row>
    <row r="469" spans="1:34" ht="12.75">
      <c r="A469" s="1"/>
      <c r="B469" s="1"/>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10"/>
      <c r="AD469" s="10"/>
      <c r="AE469" s="10"/>
      <c r="AF469" s="10"/>
      <c r="AG469" s="10"/>
      <c r="AH469" s="10"/>
    </row>
    <row r="470" spans="1:34" ht="12.75">
      <c r="A470" s="1"/>
      <c r="B470" s="1"/>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10"/>
      <c r="AD470" s="10"/>
      <c r="AE470" s="10"/>
      <c r="AF470" s="10"/>
      <c r="AG470" s="10"/>
      <c r="AH470" s="10"/>
    </row>
    <row r="471" spans="1:34" ht="12.75">
      <c r="A471" s="1"/>
      <c r="B471" s="1"/>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10"/>
      <c r="AD471" s="10"/>
      <c r="AE471" s="10"/>
      <c r="AF471" s="10"/>
      <c r="AG471" s="10"/>
      <c r="AH471" s="10"/>
    </row>
    <row r="472" spans="1:34" ht="12.75">
      <c r="A472" s="1"/>
      <c r="B472" s="1"/>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10"/>
      <c r="AD472" s="10"/>
      <c r="AE472" s="10"/>
      <c r="AF472" s="10"/>
      <c r="AG472" s="10"/>
      <c r="AH472" s="10"/>
    </row>
    <row r="473" spans="1:34" ht="12.75">
      <c r="A473" s="1"/>
      <c r="B473" s="1"/>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10"/>
      <c r="AD473" s="10"/>
      <c r="AE473" s="10"/>
      <c r="AF473" s="10"/>
      <c r="AG473" s="10"/>
      <c r="AH473" s="10"/>
    </row>
    <row r="474" spans="1:34" ht="12.75">
      <c r="A474" s="1"/>
      <c r="B474" s="1"/>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10"/>
      <c r="AD474" s="10"/>
      <c r="AE474" s="10"/>
      <c r="AF474" s="10"/>
      <c r="AG474" s="10"/>
      <c r="AH474" s="10"/>
    </row>
    <row r="475" spans="1:34" ht="12.75">
      <c r="A475" s="1"/>
      <c r="B475" s="1"/>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10"/>
      <c r="AD475" s="10"/>
      <c r="AE475" s="10"/>
      <c r="AF475" s="10"/>
      <c r="AG475" s="10"/>
      <c r="AH475" s="10"/>
    </row>
    <row r="476" spans="1:34" ht="12.75">
      <c r="A476" s="1"/>
      <c r="B476" s="1"/>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10"/>
      <c r="AD476" s="10"/>
      <c r="AE476" s="10"/>
      <c r="AF476" s="10"/>
      <c r="AG476" s="10"/>
      <c r="AH476" s="10"/>
    </row>
    <row r="477" spans="1:34" ht="12.75">
      <c r="A477" s="1"/>
      <c r="B477" s="1"/>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10"/>
      <c r="AD477" s="10"/>
      <c r="AE477" s="10"/>
      <c r="AF477" s="10"/>
      <c r="AG477" s="10"/>
      <c r="AH477" s="10"/>
    </row>
    <row r="478" spans="1:34" ht="12.75">
      <c r="A478" s="1"/>
      <c r="B478" s="1"/>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10"/>
      <c r="AD478" s="10"/>
      <c r="AE478" s="10"/>
      <c r="AF478" s="10"/>
      <c r="AG478" s="10"/>
      <c r="AH478" s="10"/>
    </row>
    <row r="479" spans="1:34" ht="12.75">
      <c r="A479" s="1"/>
      <c r="B479" s="1"/>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10"/>
      <c r="AD479" s="10"/>
      <c r="AE479" s="10"/>
      <c r="AF479" s="10"/>
      <c r="AG479" s="10"/>
      <c r="AH479" s="10"/>
    </row>
    <row r="480" spans="1:34" ht="12.75">
      <c r="A480" s="1"/>
      <c r="B480" s="1"/>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10"/>
      <c r="AD480" s="10"/>
      <c r="AE480" s="10"/>
      <c r="AF480" s="10"/>
      <c r="AG480" s="10"/>
      <c r="AH480" s="10"/>
    </row>
    <row r="481" spans="1:34" ht="12.75">
      <c r="A481" s="1"/>
      <c r="B481" s="1"/>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10"/>
      <c r="AD481" s="10"/>
      <c r="AE481" s="10"/>
      <c r="AF481" s="10"/>
      <c r="AG481" s="10"/>
      <c r="AH481" s="10"/>
    </row>
    <row r="482" spans="1:34" ht="12.75">
      <c r="A482" s="1"/>
      <c r="B482" s="1"/>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10"/>
      <c r="AD482" s="10"/>
      <c r="AE482" s="10"/>
      <c r="AF482" s="10"/>
      <c r="AG482" s="10"/>
      <c r="AH482" s="10"/>
    </row>
    <row r="483" spans="1:34" ht="12.75">
      <c r="A483" s="1"/>
      <c r="B483" s="1"/>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10"/>
      <c r="AD483" s="10"/>
      <c r="AE483" s="10"/>
      <c r="AF483" s="10"/>
      <c r="AG483" s="10"/>
      <c r="AH483" s="10"/>
    </row>
    <row r="484" spans="1:34" ht="12.75">
      <c r="A484" s="1"/>
      <c r="B484" s="1"/>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10"/>
      <c r="AD484" s="10"/>
      <c r="AE484" s="10"/>
      <c r="AF484" s="10"/>
      <c r="AG484" s="10"/>
      <c r="AH484" s="10"/>
    </row>
    <row r="485" spans="1:34" ht="12.75">
      <c r="A485" s="1"/>
      <c r="B485" s="1"/>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10"/>
      <c r="AD485" s="10"/>
      <c r="AE485" s="10"/>
      <c r="AF485" s="10"/>
      <c r="AG485" s="10"/>
      <c r="AH485" s="10"/>
    </row>
    <row r="486" spans="1:34" ht="12.75">
      <c r="A486" s="1"/>
      <c r="B486" s="1"/>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10"/>
      <c r="AD486" s="10"/>
      <c r="AE486" s="10"/>
      <c r="AF486" s="10"/>
      <c r="AG486" s="10"/>
      <c r="AH486" s="10"/>
    </row>
    <row r="487" spans="1:34" ht="12.75">
      <c r="A487" s="1"/>
      <c r="B487" s="1"/>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10"/>
      <c r="AD487" s="10"/>
      <c r="AE487" s="10"/>
      <c r="AF487" s="10"/>
      <c r="AG487" s="10"/>
      <c r="AH487" s="10"/>
    </row>
    <row r="488" spans="1:34" ht="12.75">
      <c r="A488" s="1"/>
      <c r="B488" s="1"/>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10"/>
      <c r="AD488" s="10"/>
      <c r="AE488" s="10"/>
      <c r="AF488" s="10"/>
      <c r="AG488" s="10"/>
      <c r="AH488" s="10"/>
    </row>
    <row r="489" spans="1:34" ht="12.75">
      <c r="A489" s="1"/>
      <c r="B489" s="1"/>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10"/>
      <c r="AD489" s="10"/>
      <c r="AE489" s="10"/>
      <c r="AF489" s="10"/>
      <c r="AG489" s="10"/>
      <c r="AH489" s="10"/>
    </row>
    <row r="490" spans="1:34" ht="12.75">
      <c r="A490" s="1"/>
      <c r="B490" s="1"/>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10"/>
      <c r="AD490" s="10"/>
      <c r="AE490" s="10"/>
      <c r="AF490" s="10"/>
      <c r="AG490" s="10"/>
      <c r="AH490" s="10"/>
    </row>
    <row r="491" spans="1:34" ht="12.75">
      <c r="A491" s="1"/>
      <c r="B491" s="1"/>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10"/>
      <c r="AD491" s="10"/>
      <c r="AE491" s="10"/>
      <c r="AF491" s="10"/>
      <c r="AG491" s="10"/>
      <c r="AH491" s="10"/>
    </row>
    <row r="492" spans="1:34" ht="12.75">
      <c r="A492" s="1"/>
      <c r="B492" s="1"/>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10"/>
      <c r="AD492" s="10"/>
      <c r="AE492" s="10"/>
      <c r="AF492" s="10"/>
      <c r="AG492" s="10"/>
      <c r="AH492" s="10"/>
    </row>
    <row r="493" spans="1:34" ht="12.75">
      <c r="A493" s="1"/>
      <c r="B493" s="1"/>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10"/>
      <c r="AD493" s="10"/>
      <c r="AE493" s="10"/>
      <c r="AF493" s="10"/>
      <c r="AG493" s="10"/>
      <c r="AH493" s="10"/>
    </row>
    <row r="494" spans="1:34" ht="12.75">
      <c r="A494" s="1"/>
      <c r="B494" s="1"/>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10"/>
      <c r="AD494" s="10"/>
      <c r="AE494" s="10"/>
      <c r="AF494" s="10"/>
      <c r="AG494" s="10"/>
      <c r="AH494" s="10"/>
    </row>
    <row r="495" spans="1:34" ht="12.75">
      <c r="A495" s="1"/>
      <c r="B495" s="1"/>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10"/>
      <c r="AD495" s="10"/>
      <c r="AE495" s="10"/>
      <c r="AF495" s="10"/>
      <c r="AG495" s="10"/>
      <c r="AH495" s="10"/>
    </row>
    <row r="496" spans="1:34" ht="12.75">
      <c r="A496" s="1"/>
      <c r="B496" s="1"/>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10"/>
      <c r="AD496" s="10"/>
      <c r="AE496" s="10"/>
      <c r="AF496" s="10"/>
      <c r="AG496" s="10"/>
      <c r="AH496" s="10"/>
    </row>
    <row r="497" spans="1:34" ht="12.75">
      <c r="A497" s="1"/>
      <c r="B497" s="1"/>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10"/>
      <c r="AD497" s="10"/>
      <c r="AE497" s="10"/>
      <c r="AF497" s="10"/>
      <c r="AG497" s="10"/>
      <c r="AH497" s="10"/>
    </row>
    <row r="498" spans="1:34" ht="12.75">
      <c r="A498" s="1"/>
      <c r="B498" s="1"/>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10"/>
      <c r="AD498" s="10"/>
      <c r="AE498" s="10"/>
      <c r="AF498" s="10"/>
      <c r="AG498" s="10"/>
      <c r="AH498" s="10"/>
    </row>
    <row r="499" spans="1:34" ht="12.75">
      <c r="A499" s="1"/>
      <c r="B499" s="1"/>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10"/>
      <c r="AD499" s="10"/>
      <c r="AE499" s="10"/>
      <c r="AF499" s="10"/>
      <c r="AG499" s="10"/>
      <c r="AH499" s="10"/>
    </row>
    <row r="500" spans="1:34" ht="12.75">
      <c r="A500" s="1"/>
      <c r="B500" s="1"/>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10"/>
      <c r="AD500" s="10"/>
      <c r="AE500" s="10"/>
      <c r="AF500" s="10"/>
      <c r="AG500" s="10"/>
      <c r="AH500" s="10"/>
    </row>
    <row r="501" spans="1:34" ht="12.75">
      <c r="A501" s="1"/>
      <c r="B501" s="1"/>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10"/>
      <c r="AD501" s="10"/>
      <c r="AE501" s="10"/>
      <c r="AF501" s="10"/>
      <c r="AG501" s="10"/>
      <c r="AH501" s="10"/>
    </row>
    <row r="502" spans="1:34" ht="12.75">
      <c r="A502" s="1"/>
      <c r="B502" s="1"/>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10"/>
      <c r="AD502" s="10"/>
      <c r="AE502" s="10"/>
      <c r="AF502" s="10"/>
      <c r="AG502" s="10"/>
      <c r="AH502" s="10"/>
    </row>
    <row r="503" spans="1:34" ht="12.75">
      <c r="A503" s="1"/>
      <c r="B503" s="1"/>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10"/>
      <c r="AD503" s="10"/>
      <c r="AE503" s="10"/>
      <c r="AF503" s="10"/>
      <c r="AG503" s="10"/>
      <c r="AH503" s="10"/>
    </row>
    <row r="504" spans="1:34" ht="12.75">
      <c r="A504" s="1"/>
      <c r="B504" s="1"/>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10"/>
      <c r="AD504" s="10"/>
      <c r="AE504" s="10"/>
      <c r="AF504" s="10"/>
      <c r="AG504" s="10"/>
      <c r="AH504" s="10"/>
    </row>
    <row r="505" spans="1:34" ht="12.75">
      <c r="A505" s="1"/>
      <c r="B505" s="1"/>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10"/>
      <c r="AD505" s="10"/>
      <c r="AE505" s="10"/>
      <c r="AF505" s="10"/>
      <c r="AG505" s="10"/>
      <c r="AH505" s="10"/>
    </row>
    <row r="506" spans="1:34" ht="12.75">
      <c r="A506" s="1"/>
      <c r="B506" s="1"/>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10"/>
      <c r="AD506" s="10"/>
      <c r="AE506" s="10"/>
      <c r="AF506" s="10"/>
      <c r="AG506" s="10"/>
      <c r="AH506" s="10"/>
    </row>
    <row r="507" spans="1:34" ht="12.75">
      <c r="A507" s="1"/>
      <c r="B507" s="1"/>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10"/>
      <c r="AD507" s="10"/>
      <c r="AE507" s="10"/>
      <c r="AF507" s="10"/>
      <c r="AG507" s="10"/>
      <c r="AH507" s="10"/>
    </row>
    <row r="508" spans="1:34" ht="12.75">
      <c r="A508" s="1"/>
      <c r="B508" s="1"/>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10"/>
      <c r="AD508" s="10"/>
      <c r="AE508" s="10"/>
      <c r="AF508" s="10"/>
      <c r="AG508" s="10"/>
      <c r="AH508" s="10"/>
    </row>
    <row r="509" spans="1:34" ht="12.75">
      <c r="A509" s="1"/>
      <c r="B509" s="1"/>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10"/>
      <c r="AD509" s="10"/>
      <c r="AE509" s="10"/>
      <c r="AF509" s="10"/>
      <c r="AG509" s="10"/>
      <c r="AH509" s="10"/>
    </row>
    <row r="510" spans="1:34" ht="12.75">
      <c r="A510" s="1"/>
      <c r="B510" s="1"/>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10"/>
      <c r="AD510" s="10"/>
      <c r="AE510" s="10"/>
      <c r="AF510" s="10"/>
      <c r="AG510" s="10"/>
      <c r="AH510" s="10"/>
    </row>
    <row r="511" spans="1:34" ht="12.75">
      <c r="A511" s="1"/>
      <c r="B511" s="1"/>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10"/>
      <c r="AD511" s="10"/>
      <c r="AE511" s="10"/>
      <c r="AF511" s="10"/>
      <c r="AG511" s="10"/>
      <c r="AH511" s="10"/>
    </row>
    <row r="512" spans="1:34" ht="12.75">
      <c r="A512" s="1"/>
      <c r="B512" s="1"/>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10"/>
      <c r="AD512" s="10"/>
      <c r="AE512" s="10"/>
      <c r="AF512" s="10"/>
      <c r="AG512" s="10"/>
      <c r="AH512" s="10"/>
    </row>
    <row r="513" spans="1:34" ht="12.75">
      <c r="A513" s="1"/>
      <c r="B513" s="1"/>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10"/>
      <c r="AD513" s="10"/>
      <c r="AE513" s="10"/>
      <c r="AF513" s="10"/>
      <c r="AG513" s="10"/>
      <c r="AH513" s="10"/>
    </row>
    <row r="514" spans="1:34" ht="12.75">
      <c r="A514" s="1"/>
      <c r="B514" s="1"/>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10"/>
      <c r="AD514" s="10"/>
      <c r="AE514" s="10"/>
      <c r="AF514" s="10"/>
      <c r="AG514" s="10"/>
      <c r="AH514" s="10"/>
    </row>
    <row r="515" spans="1:34" ht="12.75">
      <c r="A515" s="1"/>
      <c r="B515" s="1"/>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10"/>
      <c r="AD515" s="10"/>
      <c r="AE515" s="10"/>
      <c r="AF515" s="10"/>
      <c r="AG515" s="10"/>
      <c r="AH515" s="10"/>
    </row>
    <row r="516" spans="1:34" ht="12.75">
      <c r="A516" s="1"/>
      <c r="B516" s="1"/>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10"/>
      <c r="AD516" s="10"/>
      <c r="AE516" s="10"/>
      <c r="AF516" s="10"/>
      <c r="AG516" s="10"/>
      <c r="AH516" s="10"/>
    </row>
    <row r="517" spans="1:34" ht="12.75">
      <c r="A517" s="1"/>
      <c r="B517" s="1"/>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10"/>
      <c r="AD517" s="10"/>
      <c r="AE517" s="10"/>
      <c r="AF517" s="10"/>
      <c r="AG517" s="10"/>
      <c r="AH517" s="10"/>
    </row>
    <row r="518" spans="1:34" ht="12.75">
      <c r="A518" s="1"/>
      <c r="B518" s="1"/>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10"/>
      <c r="AD518" s="10"/>
      <c r="AE518" s="10"/>
      <c r="AF518" s="10"/>
      <c r="AG518" s="10"/>
      <c r="AH518" s="10"/>
    </row>
    <row r="519" spans="1:34" ht="12.75">
      <c r="A519" s="1"/>
      <c r="B519" s="1"/>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10"/>
      <c r="AD519" s="10"/>
      <c r="AE519" s="10"/>
      <c r="AF519" s="10"/>
      <c r="AG519" s="10"/>
      <c r="AH519" s="10"/>
    </row>
    <row r="520" spans="1:34" ht="12.75">
      <c r="A520" s="1"/>
      <c r="B520" s="1"/>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10"/>
      <c r="AD520" s="10"/>
      <c r="AE520" s="10"/>
      <c r="AF520" s="10"/>
      <c r="AG520" s="10"/>
      <c r="AH520" s="10"/>
    </row>
    <row r="521" spans="1:34" ht="12.75">
      <c r="A521" s="1"/>
      <c r="B521" s="1"/>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10"/>
      <c r="AD521" s="10"/>
      <c r="AE521" s="10"/>
      <c r="AF521" s="10"/>
      <c r="AG521" s="10"/>
      <c r="AH521" s="10"/>
    </row>
    <row r="522" spans="1:34" ht="12.75">
      <c r="A522" s="1"/>
      <c r="B522" s="1"/>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10"/>
      <c r="AD522" s="10"/>
      <c r="AE522" s="10"/>
      <c r="AF522" s="10"/>
      <c r="AG522" s="10"/>
      <c r="AH522" s="10"/>
    </row>
    <row r="523" spans="1:34" ht="12.75">
      <c r="A523" s="1"/>
      <c r="B523" s="1"/>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10"/>
      <c r="AD523" s="10"/>
      <c r="AE523" s="10"/>
      <c r="AF523" s="10"/>
      <c r="AG523" s="10"/>
      <c r="AH523" s="10"/>
    </row>
    <row r="524" spans="1:34" ht="12.75">
      <c r="A524" s="1"/>
      <c r="B524" s="1"/>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10"/>
      <c r="AD524" s="10"/>
      <c r="AE524" s="10"/>
      <c r="AF524" s="10"/>
      <c r="AG524" s="10"/>
      <c r="AH524" s="10"/>
    </row>
    <row r="525" spans="1:34" ht="12.75">
      <c r="A525" s="1"/>
      <c r="B525" s="1"/>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10"/>
      <c r="AD525" s="10"/>
      <c r="AE525" s="10"/>
      <c r="AF525" s="10"/>
      <c r="AG525" s="10"/>
      <c r="AH525" s="10"/>
    </row>
    <row r="526" spans="1:34" ht="12.75">
      <c r="A526" s="1"/>
      <c r="B526" s="1"/>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10"/>
      <c r="AD526" s="10"/>
      <c r="AE526" s="10"/>
      <c r="AF526" s="10"/>
      <c r="AG526" s="10"/>
      <c r="AH526" s="10"/>
    </row>
    <row r="527" spans="1:34" ht="12.75">
      <c r="A527" s="1"/>
      <c r="B527" s="1"/>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10"/>
      <c r="AD527" s="10"/>
      <c r="AE527" s="10"/>
      <c r="AF527" s="10"/>
      <c r="AG527" s="10"/>
      <c r="AH527" s="10"/>
    </row>
    <row r="528" spans="1:34" ht="12.75">
      <c r="A528" s="1"/>
      <c r="B528" s="1"/>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10"/>
      <c r="AD528" s="10"/>
      <c r="AE528" s="10"/>
      <c r="AF528" s="10"/>
      <c r="AG528" s="10"/>
      <c r="AH528" s="10"/>
    </row>
    <row r="529" spans="1:34" ht="12.75">
      <c r="A529" s="1"/>
      <c r="B529" s="1"/>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10"/>
      <c r="AD529" s="10"/>
      <c r="AE529" s="10"/>
      <c r="AF529" s="10"/>
      <c r="AG529" s="10"/>
      <c r="AH529" s="10"/>
    </row>
    <row r="530" spans="1:34" ht="12.75">
      <c r="A530" s="1"/>
      <c r="B530" s="1"/>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10"/>
      <c r="AD530" s="10"/>
      <c r="AE530" s="10"/>
      <c r="AF530" s="10"/>
      <c r="AG530" s="10"/>
      <c r="AH530" s="10"/>
    </row>
    <row r="531" spans="1:34" ht="12.75">
      <c r="A531" s="1"/>
      <c r="B531" s="1"/>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10"/>
      <c r="AD531" s="10"/>
      <c r="AE531" s="10"/>
      <c r="AF531" s="10"/>
      <c r="AG531" s="10"/>
      <c r="AH531" s="10"/>
    </row>
    <row r="532" spans="1:34" ht="12.75">
      <c r="A532" s="1"/>
      <c r="B532" s="1"/>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10"/>
      <c r="AD532" s="10"/>
      <c r="AE532" s="10"/>
      <c r="AF532" s="10"/>
      <c r="AG532" s="10"/>
      <c r="AH532" s="10"/>
    </row>
    <row r="533" spans="1:34" ht="12.75">
      <c r="A533" s="1"/>
      <c r="B533" s="1"/>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10"/>
      <c r="AD533" s="10"/>
      <c r="AE533" s="10"/>
      <c r="AF533" s="10"/>
      <c r="AG533" s="10"/>
      <c r="AH533" s="10"/>
    </row>
    <row r="534" spans="1:34" ht="12.75">
      <c r="A534" s="1"/>
      <c r="B534" s="1"/>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10"/>
      <c r="AD534" s="10"/>
      <c r="AE534" s="10"/>
      <c r="AF534" s="10"/>
      <c r="AG534" s="10"/>
      <c r="AH534" s="10"/>
    </row>
    <row r="535" spans="1:34" ht="12.75">
      <c r="A535" s="1"/>
      <c r="B535" s="1"/>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10"/>
      <c r="AD535" s="10"/>
      <c r="AE535" s="10"/>
      <c r="AF535" s="10"/>
      <c r="AG535" s="10"/>
      <c r="AH535" s="10"/>
    </row>
    <row r="536" spans="1:34" ht="12.75">
      <c r="A536" s="1"/>
      <c r="B536" s="1"/>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10"/>
      <c r="AD536" s="10"/>
      <c r="AE536" s="10"/>
      <c r="AF536" s="10"/>
      <c r="AG536" s="10"/>
      <c r="AH536" s="10"/>
    </row>
    <row r="537" spans="1:34" ht="12.75">
      <c r="A537" s="1"/>
      <c r="B537" s="1"/>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10"/>
      <c r="AD537" s="10"/>
      <c r="AE537" s="10"/>
      <c r="AF537" s="10"/>
      <c r="AG537" s="10"/>
      <c r="AH537" s="10"/>
    </row>
    <row r="538" spans="1:34" ht="12.75">
      <c r="A538" s="1"/>
      <c r="B538" s="1"/>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10"/>
      <c r="AD538" s="10"/>
      <c r="AE538" s="10"/>
      <c r="AF538" s="10"/>
      <c r="AG538" s="10"/>
      <c r="AH538" s="10"/>
    </row>
    <row r="539" spans="1:34" ht="12.75">
      <c r="A539" s="1"/>
      <c r="B539" s="1"/>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10"/>
      <c r="AD539" s="10"/>
      <c r="AE539" s="10"/>
      <c r="AF539" s="10"/>
      <c r="AG539" s="10"/>
      <c r="AH539" s="10"/>
    </row>
    <row r="540" spans="1:34" ht="12.75">
      <c r="A540" s="1"/>
      <c r="B540" s="1"/>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10"/>
      <c r="AD540" s="10"/>
      <c r="AE540" s="10"/>
      <c r="AF540" s="10"/>
      <c r="AG540" s="10"/>
      <c r="AH540" s="10"/>
    </row>
    <row r="541" spans="1:34" ht="12.75">
      <c r="A541" s="1"/>
      <c r="B541" s="1"/>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10"/>
      <c r="AD541" s="10"/>
      <c r="AE541" s="10"/>
      <c r="AF541" s="10"/>
      <c r="AG541" s="10"/>
      <c r="AH541" s="10"/>
    </row>
    <row r="542" spans="1:34" ht="12.75">
      <c r="A542" s="1"/>
      <c r="B542" s="1"/>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10"/>
      <c r="AD542" s="10"/>
      <c r="AE542" s="10"/>
      <c r="AF542" s="10"/>
      <c r="AG542" s="10"/>
      <c r="AH542" s="10"/>
    </row>
    <row r="543" spans="1:34" ht="12.75">
      <c r="A543" s="1"/>
      <c r="B543" s="1"/>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10"/>
      <c r="AD543" s="10"/>
      <c r="AE543" s="10"/>
      <c r="AF543" s="10"/>
      <c r="AG543" s="10"/>
      <c r="AH543" s="10"/>
    </row>
    <row r="544" spans="1:34" ht="12.75">
      <c r="A544" s="1"/>
      <c r="B544" s="1"/>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10"/>
      <c r="AD544" s="10"/>
      <c r="AE544" s="10"/>
      <c r="AF544" s="10"/>
      <c r="AG544" s="10"/>
      <c r="AH544" s="10"/>
    </row>
    <row r="545" spans="1:34" ht="12.75">
      <c r="A545" s="1"/>
      <c r="B545" s="1"/>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10"/>
      <c r="AD545" s="10"/>
      <c r="AE545" s="10"/>
      <c r="AF545" s="10"/>
      <c r="AG545" s="10"/>
      <c r="AH545" s="10"/>
    </row>
    <row r="546" spans="1:34" ht="12.75">
      <c r="A546" s="1"/>
      <c r="B546" s="1"/>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10"/>
      <c r="AD546" s="10"/>
      <c r="AE546" s="10"/>
      <c r="AF546" s="10"/>
      <c r="AG546" s="10"/>
      <c r="AH546" s="10"/>
    </row>
    <row r="547" spans="1:34" ht="12.75">
      <c r="A547" s="1"/>
      <c r="B547" s="1"/>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10"/>
      <c r="AD547" s="10"/>
      <c r="AE547" s="10"/>
      <c r="AF547" s="10"/>
      <c r="AG547" s="10"/>
      <c r="AH547" s="10"/>
    </row>
    <row r="548" spans="1:34" ht="12.75">
      <c r="A548" s="1"/>
      <c r="B548" s="1"/>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10"/>
      <c r="AD548" s="10"/>
      <c r="AE548" s="10"/>
      <c r="AF548" s="10"/>
      <c r="AG548" s="10"/>
      <c r="AH548" s="10"/>
    </row>
    <row r="549" spans="1:34" ht="12.75">
      <c r="A549" s="1"/>
      <c r="B549" s="1"/>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10"/>
      <c r="AD549" s="10"/>
      <c r="AE549" s="10"/>
      <c r="AF549" s="10"/>
      <c r="AG549" s="10"/>
      <c r="AH549" s="10"/>
    </row>
    <row r="550" spans="1:34" ht="12.75">
      <c r="A550" s="1"/>
      <c r="B550" s="1"/>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10"/>
      <c r="AD550" s="10"/>
      <c r="AE550" s="10"/>
      <c r="AF550" s="10"/>
      <c r="AG550" s="10"/>
      <c r="AH550" s="10"/>
    </row>
    <row r="551" spans="1:34" ht="12.75">
      <c r="A551" s="1"/>
      <c r="B551" s="1"/>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10"/>
      <c r="AD551" s="10"/>
      <c r="AE551" s="10"/>
      <c r="AF551" s="10"/>
      <c r="AG551" s="10"/>
      <c r="AH551" s="10"/>
    </row>
    <row r="552" spans="1:34" ht="12.75">
      <c r="A552" s="1"/>
      <c r="B552" s="1"/>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10"/>
      <c r="AD552" s="10"/>
      <c r="AE552" s="10"/>
      <c r="AF552" s="10"/>
      <c r="AG552" s="10"/>
      <c r="AH552" s="10"/>
    </row>
    <row r="553" spans="1:34" ht="12.75">
      <c r="A553" s="1"/>
      <c r="B553" s="1"/>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10"/>
      <c r="AD553" s="10"/>
      <c r="AE553" s="10"/>
      <c r="AF553" s="10"/>
      <c r="AG553" s="10"/>
      <c r="AH553" s="10"/>
    </row>
    <row r="554" spans="1:34" ht="12.75">
      <c r="A554" s="1"/>
      <c r="B554" s="1"/>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10"/>
      <c r="AD554" s="10"/>
      <c r="AE554" s="10"/>
      <c r="AF554" s="10"/>
      <c r="AG554" s="10"/>
      <c r="AH554" s="10"/>
    </row>
    <row r="555" spans="1:34" ht="12.75">
      <c r="A555" s="1"/>
      <c r="B555" s="1"/>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10"/>
      <c r="AD555" s="10"/>
      <c r="AE555" s="10"/>
      <c r="AF555" s="10"/>
      <c r="AG555" s="10"/>
      <c r="AH555" s="10"/>
    </row>
    <row r="556" spans="1:34" ht="12.75">
      <c r="A556" s="1"/>
      <c r="B556" s="1"/>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10"/>
      <c r="AD556" s="10"/>
      <c r="AE556" s="10"/>
      <c r="AF556" s="10"/>
      <c r="AG556" s="10"/>
      <c r="AH556" s="10"/>
    </row>
    <row r="557" spans="1:34" ht="12.75">
      <c r="A557" s="1"/>
      <c r="B557" s="1"/>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10"/>
      <c r="AD557" s="10"/>
      <c r="AE557" s="10"/>
      <c r="AF557" s="10"/>
      <c r="AG557" s="10"/>
      <c r="AH557" s="10"/>
    </row>
    <row r="558" spans="1:34" ht="12.75">
      <c r="A558" s="1"/>
      <c r="B558" s="1"/>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10"/>
      <c r="AD558" s="10"/>
      <c r="AE558" s="10"/>
      <c r="AF558" s="10"/>
      <c r="AG558" s="10"/>
      <c r="AH558" s="10"/>
    </row>
    <row r="559" spans="1:34" ht="12.75">
      <c r="A559" s="1"/>
      <c r="B559" s="1"/>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10"/>
      <c r="AD559" s="10"/>
      <c r="AE559" s="10"/>
      <c r="AF559" s="10"/>
      <c r="AG559" s="10"/>
      <c r="AH559" s="10"/>
    </row>
    <row r="560" spans="1:34" ht="12.75">
      <c r="A560" s="1"/>
      <c r="B560" s="1"/>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10"/>
      <c r="AD560" s="10"/>
      <c r="AE560" s="10"/>
      <c r="AF560" s="10"/>
      <c r="AG560" s="10"/>
      <c r="AH560" s="10"/>
    </row>
    <row r="561" spans="1:34" ht="12.75">
      <c r="A561" s="1"/>
      <c r="B561" s="1"/>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10"/>
      <c r="AD561" s="10"/>
      <c r="AE561" s="10"/>
      <c r="AF561" s="10"/>
      <c r="AG561" s="10"/>
      <c r="AH561" s="10"/>
    </row>
    <row r="562" spans="1:34" ht="12.75">
      <c r="A562" s="1"/>
      <c r="B562" s="1"/>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10"/>
      <c r="AD562" s="10"/>
      <c r="AE562" s="10"/>
      <c r="AF562" s="10"/>
      <c r="AG562" s="10"/>
      <c r="AH562" s="10"/>
    </row>
    <row r="563" spans="1:34" ht="12.75">
      <c r="A563" s="1"/>
      <c r="B563" s="1"/>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10"/>
      <c r="AD563" s="10"/>
      <c r="AE563" s="10"/>
      <c r="AF563" s="10"/>
      <c r="AG563" s="10"/>
      <c r="AH563" s="10"/>
    </row>
    <row r="564" spans="1:34" ht="12.75">
      <c r="A564" s="1"/>
      <c r="B564" s="1"/>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10"/>
      <c r="AD564" s="10"/>
      <c r="AE564" s="10"/>
      <c r="AF564" s="10"/>
      <c r="AG564" s="10"/>
      <c r="AH564" s="10"/>
    </row>
    <row r="565" spans="1:34" ht="12.75">
      <c r="A565" s="1"/>
      <c r="B565" s="1"/>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10"/>
      <c r="AD565" s="10"/>
      <c r="AE565" s="10"/>
      <c r="AF565" s="10"/>
      <c r="AG565" s="10"/>
      <c r="AH565" s="10"/>
    </row>
    <row r="566" spans="1:34" ht="12.75">
      <c r="A566" s="1"/>
      <c r="B566" s="1"/>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10"/>
      <c r="AD566" s="10"/>
      <c r="AE566" s="10"/>
      <c r="AF566" s="10"/>
      <c r="AG566" s="10"/>
      <c r="AH566" s="10"/>
    </row>
    <row r="567" spans="1:34" ht="12.75">
      <c r="A567" s="1"/>
      <c r="B567" s="1"/>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10"/>
      <c r="AD567" s="10"/>
      <c r="AE567" s="10"/>
      <c r="AF567" s="10"/>
      <c r="AG567" s="10"/>
      <c r="AH567" s="10"/>
    </row>
    <row r="568" spans="1:34" ht="12.75">
      <c r="A568" s="1"/>
      <c r="B568" s="1"/>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10"/>
      <c r="AD568" s="10"/>
      <c r="AE568" s="10"/>
      <c r="AF568" s="10"/>
      <c r="AG568" s="10"/>
      <c r="AH568" s="10"/>
    </row>
    <row r="569" spans="1:34" ht="12.75">
      <c r="A569" s="1"/>
      <c r="B569" s="1"/>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10"/>
      <c r="AD569" s="10"/>
      <c r="AE569" s="10"/>
      <c r="AF569" s="10"/>
      <c r="AG569" s="10"/>
      <c r="AH569" s="10"/>
    </row>
    <row r="570" spans="1:34" ht="12.75">
      <c r="A570" s="1"/>
      <c r="B570" s="1"/>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10"/>
      <c r="AD570" s="10"/>
      <c r="AE570" s="10"/>
      <c r="AF570" s="10"/>
      <c r="AG570" s="10"/>
      <c r="AH570" s="10"/>
    </row>
    <row r="571" spans="1:34" ht="12.75">
      <c r="A571" s="1"/>
      <c r="B571" s="1"/>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10"/>
      <c r="AD571" s="10"/>
      <c r="AE571" s="10"/>
      <c r="AF571" s="10"/>
      <c r="AG571" s="10"/>
      <c r="AH571" s="10"/>
    </row>
    <row r="572" spans="1:34" ht="12.75">
      <c r="A572" s="1"/>
      <c r="B572" s="1"/>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10"/>
      <c r="AD572" s="10"/>
      <c r="AE572" s="10"/>
      <c r="AF572" s="10"/>
      <c r="AG572" s="10"/>
      <c r="AH572" s="10"/>
    </row>
    <row r="573" spans="1:34" ht="12.75">
      <c r="A573" s="1"/>
      <c r="B573" s="1"/>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10"/>
      <c r="AD573" s="10"/>
      <c r="AE573" s="10"/>
      <c r="AF573" s="10"/>
      <c r="AG573" s="10"/>
      <c r="AH573" s="10"/>
    </row>
    <row r="574" spans="1:34" ht="12.75">
      <c r="A574" s="1"/>
      <c r="B574" s="1"/>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10"/>
      <c r="AD574" s="10"/>
      <c r="AE574" s="10"/>
      <c r="AF574" s="10"/>
      <c r="AG574" s="10"/>
      <c r="AH574" s="10"/>
    </row>
    <row r="575" spans="1:34" ht="12.75">
      <c r="A575" s="1"/>
      <c r="B575" s="1"/>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10"/>
      <c r="AD575" s="10"/>
      <c r="AE575" s="10"/>
      <c r="AF575" s="10"/>
      <c r="AG575" s="10"/>
      <c r="AH575" s="10"/>
    </row>
    <row r="576" spans="1:34" ht="12.75">
      <c r="A576" s="1"/>
      <c r="B576" s="1"/>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10"/>
      <c r="AD576" s="10"/>
      <c r="AE576" s="10"/>
      <c r="AF576" s="10"/>
      <c r="AG576" s="10"/>
      <c r="AH576" s="10"/>
    </row>
    <row r="577" spans="1:34" ht="12.75">
      <c r="A577" s="1"/>
      <c r="B577" s="1"/>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10"/>
      <c r="AD577" s="10"/>
      <c r="AE577" s="10"/>
      <c r="AF577" s="10"/>
      <c r="AG577" s="10"/>
      <c r="AH577" s="10"/>
    </row>
    <row r="578" spans="1:34" ht="12.75">
      <c r="A578" s="1"/>
      <c r="B578" s="1"/>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10"/>
      <c r="AD578" s="10"/>
      <c r="AE578" s="10"/>
      <c r="AF578" s="10"/>
      <c r="AG578" s="10"/>
      <c r="AH578" s="10"/>
    </row>
    <row r="579" spans="1:34" ht="12.75">
      <c r="A579" s="1"/>
      <c r="B579" s="1"/>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10"/>
      <c r="AD579" s="10"/>
      <c r="AE579" s="10"/>
      <c r="AF579" s="10"/>
      <c r="AG579" s="10"/>
      <c r="AH579" s="10"/>
    </row>
    <row r="580" spans="1:34" ht="12.75">
      <c r="A580" s="1"/>
      <c r="B580" s="1"/>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10"/>
      <c r="AD580" s="10"/>
      <c r="AE580" s="10"/>
      <c r="AF580" s="10"/>
      <c r="AG580" s="10"/>
      <c r="AH580" s="10"/>
    </row>
    <row r="581" spans="1:34" ht="12.75">
      <c r="A581" s="1"/>
      <c r="B581" s="1"/>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10"/>
      <c r="AD581" s="10"/>
      <c r="AE581" s="10"/>
      <c r="AF581" s="10"/>
      <c r="AG581" s="10"/>
      <c r="AH581" s="10"/>
    </row>
    <row r="582" spans="1:34" ht="12.75">
      <c r="A582" s="1"/>
      <c r="B582" s="1"/>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10"/>
      <c r="AD582" s="10"/>
      <c r="AE582" s="10"/>
      <c r="AF582" s="10"/>
      <c r="AG582" s="10"/>
      <c r="AH582" s="10"/>
    </row>
    <row r="583" spans="1:34" ht="12.75">
      <c r="A583" s="1"/>
      <c r="B583" s="1"/>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10"/>
      <c r="AD583" s="10"/>
      <c r="AE583" s="10"/>
      <c r="AF583" s="10"/>
      <c r="AG583" s="10"/>
      <c r="AH583" s="10"/>
    </row>
    <row r="584" spans="1:34" ht="12.75">
      <c r="A584" s="1"/>
      <c r="B584" s="1"/>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10"/>
      <c r="AD584" s="10"/>
      <c r="AE584" s="10"/>
      <c r="AF584" s="10"/>
      <c r="AG584" s="10"/>
      <c r="AH584" s="10"/>
    </row>
    <row r="585" spans="1:34" ht="12.75">
      <c r="A585" s="1"/>
      <c r="B585" s="1"/>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10"/>
      <c r="AD585" s="10"/>
      <c r="AE585" s="10"/>
      <c r="AF585" s="10"/>
      <c r="AG585" s="10"/>
      <c r="AH585" s="10"/>
    </row>
    <row r="586" spans="1:34" ht="12.75">
      <c r="A586" s="1"/>
      <c r="B586" s="1"/>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10"/>
      <c r="AD586" s="10"/>
      <c r="AE586" s="10"/>
      <c r="AF586" s="10"/>
      <c r="AG586" s="10"/>
      <c r="AH586" s="10"/>
    </row>
    <row r="587" spans="1:34" ht="12.75">
      <c r="A587" s="1"/>
      <c r="B587" s="1"/>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10"/>
      <c r="AD587" s="10"/>
      <c r="AE587" s="10"/>
      <c r="AF587" s="10"/>
      <c r="AG587" s="10"/>
      <c r="AH587" s="10"/>
    </row>
    <row r="588" spans="1:34" ht="12.75">
      <c r="A588" s="1"/>
      <c r="B588" s="1"/>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10"/>
      <c r="AD588" s="10"/>
      <c r="AE588" s="10"/>
      <c r="AF588" s="10"/>
      <c r="AG588" s="10"/>
      <c r="AH588" s="10"/>
    </row>
    <row r="589" spans="1:34" ht="12.75">
      <c r="A589" s="1"/>
      <c r="B589" s="1"/>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10"/>
      <c r="AD589" s="10"/>
      <c r="AE589" s="10"/>
      <c r="AF589" s="10"/>
      <c r="AG589" s="10"/>
      <c r="AH589" s="10"/>
    </row>
    <row r="590" spans="1:34" ht="12.75">
      <c r="A590" s="1"/>
      <c r="B590" s="1"/>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10"/>
      <c r="AD590" s="10"/>
      <c r="AE590" s="10"/>
      <c r="AF590" s="10"/>
      <c r="AG590" s="10"/>
      <c r="AH590" s="10"/>
    </row>
    <row r="591" spans="1:34" ht="12.75">
      <c r="A591" s="1"/>
      <c r="B591" s="1"/>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10"/>
      <c r="AD591" s="10"/>
      <c r="AE591" s="10"/>
      <c r="AF591" s="10"/>
      <c r="AG591" s="10"/>
      <c r="AH591" s="10"/>
    </row>
    <row r="592" spans="1:34" ht="12.75">
      <c r="A592" s="1"/>
      <c r="B592" s="1"/>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10"/>
      <c r="AD592" s="10"/>
      <c r="AE592" s="10"/>
      <c r="AF592" s="10"/>
      <c r="AG592" s="10"/>
      <c r="AH592" s="10"/>
    </row>
    <row r="593" spans="1:34" ht="12.75">
      <c r="A593" s="1"/>
      <c r="B593" s="1"/>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10"/>
      <c r="AD593" s="10"/>
      <c r="AE593" s="10"/>
      <c r="AF593" s="10"/>
      <c r="AG593" s="10"/>
      <c r="AH593" s="10"/>
    </row>
    <row r="594" spans="1:34" ht="12.75">
      <c r="A594" s="1"/>
      <c r="B594" s="1"/>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10"/>
      <c r="AD594" s="10"/>
      <c r="AE594" s="10"/>
      <c r="AF594" s="10"/>
      <c r="AG594" s="10"/>
      <c r="AH594" s="10"/>
    </row>
    <row r="595" spans="1:34" ht="12.75">
      <c r="A595" s="1"/>
      <c r="B595" s="1"/>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10"/>
      <c r="AD595" s="10"/>
      <c r="AE595" s="10"/>
      <c r="AF595" s="10"/>
      <c r="AG595" s="10"/>
      <c r="AH595" s="10"/>
    </row>
    <row r="596" spans="1:34" ht="12.75">
      <c r="A596" s="1"/>
      <c r="B596" s="1"/>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10"/>
      <c r="AD596" s="10"/>
      <c r="AE596" s="10"/>
      <c r="AF596" s="10"/>
      <c r="AG596" s="10"/>
      <c r="AH596" s="10"/>
    </row>
    <row r="597" spans="1:34" ht="12.75">
      <c r="A597" s="1"/>
      <c r="B597" s="1"/>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10"/>
      <c r="AD597" s="10"/>
      <c r="AE597" s="10"/>
      <c r="AF597" s="10"/>
      <c r="AG597" s="10"/>
      <c r="AH597" s="10"/>
    </row>
    <row r="598" spans="1:34" ht="12.75">
      <c r="A598" s="1"/>
      <c r="B598" s="1"/>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10"/>
      <c r="AD598" s="10"/>
      <c r="AE598" s="10"/>
      <c r="AF598" s="10"/>
      <c r="AG598" s="10"/>
      <c r="AH598" s="10"/>
    </row>
    <row r="599" spans="1:34" ht="12.75">
      <c r="A599" s="1"/>
      <c r="B599" s="1"/>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10"/>
      <c r="AD599" s="10"/>
      <c r="AE599" s="10"/>
      <c r="AF599" s="10"/>
      <c r="AG599" s="10"/>
      <c r="AH599" s="10"/>
    </row>
    <row r="600" spans="1:34" ht="12.75">
      <c r="A600" s="1"/>
      <c r="B600" s="1"/>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10"/>
      <c r="AD600" s="10"/>
      <c r="AE600" s="10"/>
      <c r="AF600" s="10"/>
      <c r="AG600" s="10"/>
      <c r="AH600" s="10"/>
    </row>
    <row r="601" spans="1:34" ht="12.75">
      <c r="A601" s="1"/>
      <c r="B601" s="1"/>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10"/>
      <c r="AD601" s="10"/>
      <c r="AE601" s="10"/>
      <c r="AF601" s="10"/>
      <c r="AG601" s="10"/>
      <c r="AH601" s="10"/>
    </row>
    <row r="602" spans="1:34" ht="12.75">
      <c r="A602" s="1"/>
      <c r="B602" s="1"/>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10"/>
      <c r="AD602" s="10"/>
      <c r="AE602" s="10"/>
      <c r="AF602" s="10"/>
      <c r="AG602" s="10"/>
      <c r="AH602" s="10"/>
    </row>
    <row r="603" spans="1:34" ht="12.75">
      <c r="A603" s="1"/>
      <c r="B603" s="1"/>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10"/>
      <c r="AD603" s="10"/>
      <c r="AE603" s="10"/>
      <c r="AF603" s="10"/>
      <c r="AG603" s="10"/>
      <c r="AH603" s="10"/>
    </row>
    <row r="604" spans="1:34" ht="12.75">
      <c r="A604" s="1"/>
      <c r="B604" s="1"/>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10"/>
      <c r="AD604" s="10"/>
      <c r="AE604" s="10"/>
      <c r="AF604" s="10"/>
      <c r="AG604" s="10"/>
      <c r="AH604" s="10"/>
    </row>
    <row r="605" spans="1:34" ht="12.75">
      <c r="A605" s="1"/>
      <c r="B605" s="1"/>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10"/>
      <c r="AD605" s="10"/>
      <c r="AE605" s="10"/>
      <c r="AF605" s="10"/>
      <c r="AG605" s="10"/>
      <c r="AH605" s="10"/>
    </row>
    <row r="606" spans="1:34" ht="12.75">
      <c r="A606" s="1"/>
      <c r="B606" s="1"/>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10"/>
      <c r="AD606" s="10"/>
      <c r="AE606" s="10"/>
      <c r="AF606" s="10"/>
      <c r="AG606" s="10"/>
      <c r="AH606" s="10"/>
    </row>
    <row r="607" spans="1:34" ht="12.75">
      <c r="A607" s="1"/>
      <c r="B607" s="1"/>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10"/>
      <c r="AD607" s="10"/>
      <c r="AE607" s="10"/>
      <c r="AF607" s="10"/>
      <c r="AG607" s="10"/>
      <c r="AH607" s="10"/>
    </row>
    <row r="608" spans="1:34" ht="12.75">
      <c r="A608" s="1"/>
      <c r="B608" s="1"/>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10"/>
      <c r="AD608" s="10"/>
      <c r="AE608" s="10"/>
      <c r="AF608" s="10"/>
      <c r="AG608" s="10"/>
      <c r="AH608" s="10"/>
    </row>
    <row r="609" spans="1:34" ht="12.75">
      <c r="A609" s="1"/>
      <c r="B609" s="1"/>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10"/>
      <c r="AD609" s="10"/>
      <c r="AE609" s="10"/>
      <c r="AF609" s="10"/>
      <c r="AG609" s="10"/>
      <c r="AH609" s="10"/>
    </row>
    <row r="610" spans="1:34" ht="12.75">
      <c r="A610" s="1"/>
      <c r="B610" s="1"/>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10"/>
      <c r="AD610" s="10"/>
      <c r="AE610" s="10"/>
      <c r="AF610" s="10"/>
      <c r="AG610" s="10"/>
      <c r="AH610" s="10"/>
    </row>
    <row r="611" spans="1:34" ht="12.75">
      <c r="A611" s="1"/>
      <c r="B611" s="1"/>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10"/>
      <c r="AD611" s="10"/>
      <c r="AE611" s="10"/>
      <c r="AF611" s="10"/>
      <c r="AG611" s="10"/>
      <c r="AH611" s="10"/>
    </row>
    <row r="612" spans="1:34" ht="12.75">
      <c r="A612" s="1"/>
      <c r="B612" s="1"/>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10"/>
      <c r="AD612" s="10"/>
      <c r="AE612" s="10"/>
      <c r="AF612" s="10"/>
      <c r="AG612" s="10"/>
      <c r="AH612" s="10"/>
    </row>
    <row r="613" spans="1:34" ht="12.75">
      <c r="A613" s="1"/>
      <c r="B613" s="1"/>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10"/>
      <c r="AD613" s="10"/>
      <c r="AE613" s="10"/>
      <c r="AF613" s="10"/>
      <c r="AG613" s="10"/>
      <c r="AH613" s="10"/>
    </row>
    <row r="614" spans="1:34" ht="12.75">
      <c r="A614" s="1"/>
      <c r="B614" s="1"/>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10"/>
      <c r="AD614" s="10"/>
      <c r="AE614" s="10"/>
      <c r="AF614" s="10"/>
      <c r="AG614" s="10"/>
      <c r="AH614" s="10"/>
    </row>
    <row r="615" spans="1:34" ht="12.75">
      <c r="A615" s="1"/>
      <c r="B615" s="1"/>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10"/>
      <c r="AD615" s="10"/>
      <c r="AE615" s="10"/>
      <c r="AF615" s="10"/>
      <c r="AG615" s="10"/>
      <c r="AH615" s="10"/>
    </row>
    <row r="616" spans="1:34" ht="12.75">
      <c r="A616" s="1"/>
      <c r="B616" s="1"/>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10"/>
      <c r="AD616" s="10"/>
      <c r="AE616" s="10"/>
      <c r="AF616" s="10"/>
      <c r="AG616" s="10"/>
      <c r="AH616" s="10"/>
    </row>
    <row r="617" spans="1:34" ht="12.75">
      <c r="A617" s="1"/>
      <c r="B617" s="1"/>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10"/>
      <c r="AD617" s="10"/>
      <c r="AE617" s="10"/>
      <c r="AF617" s="10"/>
      <c r="AG617" s="10"/>
      <c r="AH617" s="10"/>
    </row>
    <row r="618" spans="1:34" ht="12.75">
      <c r="A618" s="1"/>
      <c r="B618" s="1"/>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10"/>
      <c r="AD618" s="10"/>
      <c r="AE618" s="10"/>
      <c r="AF618" s="10"/>
      <c r="AG618" s="10"/>
      <c r="AH618" s="10"/>
    </row>
    <row r="619" spans="1:34" ht="12.75">
      <c r="A619" s="1"/>
      <c r="B619" s="1"/>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10"/>
      <c r="AD619" s="10"/>
      <c r="AE619" s="10"/>
      <c r="AF619" s="10"/>
      <c r="AG619" s="10"/>
      <c r="AH619" s="10"/>
    </row>
    <row r="620" spans="1:34" ht="12.75">
      <c r="A620" s="1"/>
      <c r="B620" s="1"/>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10"/>
      <c r="AD620" s="10"/>
      <c r="AE620" s="10"/>
      <c r="AF620" s="10"/>
      <c r="AG620" s="10"/>
      <c r="AH620" s="10"/>
    </row>
    <row r="621" spans="1:34" ht="12.75">
      <c r="A621" s="1"/>
      <c r="B621" s="1"/>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10"/>
      <c r="AD621" s="10"/>
      <c r="AE621" s="10"/>
      <c r="AF621" s="10"/>
      <c r="AG621" s="10"/>
      <c r="AH621" s="10"/>
    </row>
    <row r="622" spans="1:34" ht="12.75">
      <c r="A622" s="1"/>
      <c r="B622" s="1"/>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10"/>
      <c r="AD622" s="10"/>
      <c r="AE622" s="10"/>
      <c r="AF622" s="10"/>
      <c r="AG622" s="10"/>
      <c r="AH622" s="10"/>
    </row>
    <row r="623" spans="1:34" ht="12.75">
      <c r="A623" s="1"/>
      <c r="B623" s="1"/>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10"/>
      <c r="AD623" s="10"/>
      <c r="AE623" s="10"/>
      <c r="AF623" s="10"/>
      <c r="AG623" s="10"/>
      <c r="AH623" s="10"/>
    </row>
    <row r="624" spans="1:34" ht="12.75">
      <c r="A624" s="1"/>
      <c r="B624" s="1"/>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10"/>
      <c r="AD624" s="10"/>
      <c r="AE624" s="10"/>
      <c r="AF624" s="10"/>
      <c r="AG624" s="10"/>
      <c r="AH624" s="10"/>
    </row>
    <row r="625" spans="1:34" ht="12.75">
      <c r="A625" s="1"/>
      <c r="B625" s="1"/>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10"/>
      <c r="AD625" s="10"/>
      <c r="AE625" s="10"/>
      <c r="AF625" s="10"/>
      <c r="AG625" s="10"/>
      <c r="AH625" s="10"/>
    </row>
    <row r="626" spans="1:34" ht="12.75">
      <c r="A626" s="1"/>
      <c r="B626" s="1"/>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10"/>
      <c r="AD626" s="10"/>
      <c r="AE626" s="10"/>
      <c r="AF626" s="10"/>
      <c r="AG626" s="10"/>
      <c r="AH626" s="10"/>
    </row>
    <row r="627" spans="1:34" ht="12.75">
      <c r="A627" s="1"/>
      <c r="B627" s="1"/>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10"/>
      <c r="AD627" s="10"/>
      <c r="AE627" s="10"/>
      <c r="AF627" s="10"/>
      <c r="AG627" s="10"/>
      <c r="AH627" s="10"/>
    </row>
    <row r="628" spans="1:34" ht="12.75">
      <c r="A628" s="1"/>
      <c r="B628" s="1"/>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10"/>
      <c r="AD628" s="10"/>
      <c r="AE628" s="10"/>
      <c r="AF628" s="10"/>
      <c r="AG628" s="10"/>
      <c r="AH628" s="10"/>
    </row>
    <row r="629" spans="1:34" ht="12.75">
      <c r="A629" s="1"/>
      <c r="B629" s="1"/>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10"/>
      <c r="AD629" s="10"/>
      <c r="AE629" s="10"/>
      <c r="AF629" s="10"/>
      <c r="AG629" s="10"/>
      <c r="AH629" s="10"/>
    </row>
    <row r="630" spans="1:34" ht="12.75">
      <c r="A630" s="1"/>
      <c r="B630" s="1"/>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10"/>
      <c r="AD630" s="10"/>
      <c r="AE630" s="10"/>
      <c r="AF630" s="10"/>
      <c r="AG630" s="10"/>
      <c r="AH630" s="10"/>
    </row>
    <row r="631" spans="1:34" ht="12.75">
      <c r="A631" s="1"/>
      <c r="B631" s="1"/>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10"/>
      <c r="AD631" s="10"/>
      <c r="AE631" s="10"/>
      <c r="AF631" s="10"/>
      <c r="AG631" s="10"/>
      <c r="AH631" s="10"/>
    </row>
    <row r="632" spans="1:34" ht="12.75">
      <c r="A632" s="1"/>
      <c r="B632" s="1"/>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10"/>
      <c r="AD632" s="10"/>
      <c r="AE632" s="10"/>
      <c r="AF632" s="10"/>
      <c r="AG632" s="10"/>
      <c r="AH632" s="10"/>
    </row>
    <row r="633" spans="1:34" ht="12.75">
      <c r="A633" s="1"/>
      <c r="B633" s="1"/>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10"/>
      <c r="AD633" s="10"/>
      <c r="AE633" s="10"/>
      <c r="AF633" s="10"/>
      <c r="AG633" s="10"/>
      <c r="AH633" s="10"/>
    </row>
    <row r="634" spans="1:34" ht="12.75">
      <c r="A634" s="1"/>
      <c r="B634" s="1"/>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10"/>
      <c r="AD634" s="10"/>
      <c r="AE634" s="10"/>
      <c r="AF634" s="10"/>
      <c r="AG634" s="10"/>
      <c r="AH634" s="10"/>
    </row>
    <row r="635" spans="1:34" ht="12.75">
      <c r="A635" s="1"/>
      <c r="B635" s="1"/>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10"/>
      <c r="AD635" s="10"/>
      <c r="AE635" s="10"/>
      <c r="AF635" s="10"/>
      <c r="AG635" s="10"/>
      <c r="AH635" s="10"/>
    </row>
    <row r="636" spans="1:34" ht="12.75">
      <c r="A636" s="1"/>
      <c r="B636" s="1"/>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10"/>
      <c r="AD636" s="10"/>
      <c r="AE636" s="10"/>
      <c r="AF636" s="10"/>
      <c r="AG636" s="10"/>
      <c r="AH636" s="10"/>
    </row>
    <row r="637" spans="1:34" ht="12.75">
      <c r="A637" s="1"/>
      <c r="B637" s="1"/>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10"/>
      <c r="AD637" s="10"/>
      <c r="AE637" s="10"/>
      <c r="AF637" s="10"/>
      <c r="AG637" s="10"/>
      <c r="AH637" s="10"/>
    </row>
    <row r="638" spans="1:34" ht="12.75">
      <c r="A638" s="1"/>
      <c r="B638" s="1"/>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10"/>
      <c r="AD638" s="10"/>
      <c r="AE638" s="10"/>
      <c r="AF638" s="10"/>
      <c r="AG638" s="10"/>
      <c r="AH638" s="10"/>
    </row>
    <row r="639" spans="1:34" ht="12.75">
      <c r="A639" s="1"/>
      <c r="B639" s="1"/>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10"/>
      <c r="AD639" s="10"/>
      <c r="AE639" s="10"/>
      <c r="AF639" s="10"/>
      <c r="AG639" s="10"/>
      <c r="AH639" s="10"/>
    </row>
    <row r="640" spans="1:34" ht="12.75">
      <c r="A640" s="1"/>
      <c r="B640" s="1"/>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10"/>
      <c r="AD640" s="10"/>
      <c r="AE640" s="10"/>
      <c r="AF640" s="10"/>
      <c r="AG640" s="10"/>
      <c r="AH640" s="10"/>
    </row>
    <row r="641" spans="1:34" ht="12.75">
      <c r="A641" s="1"/>
      <c r="B641" s="1"/>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10"/>
      <c r="AD641" s="10"/>
      <c r="AE641" s="10"/>
      <c r="AF641" s="10"/>
      <c r="AG641" s="10"/>
      <c r="AH641" s="10"/>
    </row>
    <row r="642" spans="1:34" ht="12.75">
      <c r="A642" s="1"/>
      <c r="B642" s="1"/>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10"/>
      <c r="AD642" s="10"/>
      <c r="AE642" s="10"/>
      <c r="AF642" s="10"/>
      <c r="AG642" s="10"/>
      <c r="AH642" s="10"/>
    </row>
    <row r="643" spans="1:34" ht="12.75">
      <c r="A643" s="1"/>
      <c r="B643" s="1"/>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10"/>
      <c r="AD643" s="10"/>
      <c r="AE643" s="10"/>
      <c r="AF643" s="10"/>
      <c r="AG643" s="10"/>
      <c r="AH643" s="10"/>
    </row>
    <row r="644" spans="1:34" ht="12.75">
      <c r="A644" s="1"/>
      <c r="B644" s="1"/>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10"/>
      <c r="AD644" s="10"/>
      <c r="AE644" s="10"/>
      <c r="AF644" s="10"/>
      <c r="AG644" s="10"/>
      <c r="AH644" s="10"/>
    </row>
    <row r="645" spans="1:34" ht="12.75">
      <c r="A645" s="1"/>
      <c r="B645" s="1"/>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10"/>
      <c r="AD645" s="10"/>
      <c r="AE645" s="10"/>
      <c r="AF645" s="10"/>
      <c r="AG645" s="10"/>
      <c r="AH645" s="10"/>
    </row>
    <row r="646" spans="1:34" ht="12.75">
      <c r="A646" s="1"/>
      <c r="B646" s="1"/>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10"/>
      <c r="AD646" s="10"/>
      <c r="AE646" s="10"/>
      <c r="AF646" s="10"/>
      <c r="AG646" s="10"/>
      <c r="AH646" s="10"/>
    </row>
    <row r="647" spans="1:34" ht="12.75">
      <c r="A647" s="1"/>
      <c r="B647" s="1"/>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10"/>
      <c r="AD647" s="10"/>
      <c r="AE647" s="10"/>
      <c r="AF647" s="10"/>
      <c r="AG647" s="10"/>
      <c r="AH647" s="10"/>
    </row>
    <row r="648" spans="1:34" ht="12.75">
      <c r="A648" s="1"/>
      <c r="B648" s="1"/>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10"/>
      <c r="AD648" s="10"/>
      <c r="AE648" s="10"/>
      <c r="AF648" s="10"/>
      <c r="AG648" s="10"/>
      <c r="AH648" s="10"/>
    </row>
    <row r="649" spans="1:34" ht="12.75">
      <c r="A649" s="1"/>
      <c r="B649" s="1"/>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10"/>
      <c r="AD649" s="10"/>
      <c r="AE649" s="10"/>
      <c r="AF649" s="10"/>
      <c r="AG649" s="10"/>
      <c r="AH649" s="10"/>
    </row>
    <row r="650" spans="1:34" ht="12.75">
      <c r="A650" s="1"/>
      <c r="B650" s="1"/>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10"/>
      <c r="AD650" s="10"/>
      <c r="AE650" s="10"/>
      <c r="AF650" s="10"/>
      <c r="AG650" s="10"/>
      <c r="AH650" s="10"/>
    </row>
    <row r="651" spans="1:34" ht="12.75">
      <c r="A651" s="1"/>
      <c r="B651" s="1"/>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10"/>
      <c r="AD651" s="10"/>
      <c r="AE651" s="10"/>
      <c r="AF651" s="10"/>
      <c r="AG651" s="10"/>
      <c r="AH651" s="10"/>
    </row>
    <row r="652" spans="1:34" ht="12.75">
      <c r="A652" s="1"/>
      <c r="B652" s="1"/>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10"/>
      <c r="AD652" s="10"/>
      <c r="AE652" s="10"/>
      <c r="AF652" s="10"/>
      <c r="AG652" s="10"/>
      <c r="AH652" s="10"/>
    </row>
    <row r="653" spans="1:34" ht="12.75">
      <c r="A653" s="1"/>
      <c r="B653" s="1"/>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10"/>
      <c r="AD653" s="10"/>
      <c r="AE653" s="10"/>
      <c r="AF653" s="10"/>
      <c r="AG653" s="10"/>
      <c r="AH653" s="10"/>
    </row>
    <row r="654" spans="1:34" ht="12.75">
      <c r="A654" s="1"/>
      <c r="B654" s="1"/>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10"/>
      <c r="AD654" s="10"/>
      <c r="AE654" s="10"/>
      <c r="AF654" s="10"/>
      <c r="AG654" s="10"/>
      <c r="AH654" s="10"/>
    </row>
    <row r="655" spans="1:34" ht="12.75">
      <c r="A655" s="1"/>
      <c r="B655" s="1"/>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10"/>
      <c r="AD655" s="10"/>
      <c r="AE655" s="10"/>
      <c r="AF655" s="10"/>
      <c r="AG655" s="10"/>
      <c r="AH655" s="10"/>
    </row>
    <row r="656" spans="1:34" ht="12.75">
      <c r="A656" s="1"/>
      <c r="B656" s="1"/>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10"/>
      <c r="AD656" s="10"/>
      <c r="AE656" s="10"/>
      <c r="AF656" s="10"/>
      <c r="AG656" s="10"/>
      <c r="AH656" s="10"/>
    </row>
    <row r="657" spans="1:34" ht="12.75">
      <c r="A657" s="1"/>
      <c r="B657" s="1"/>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10"/>
      <c r="AD657" s="10"/>
      <c r="AE657" s="10"/>
      <c r="AF657" s="10"/>
      <c r="AG657" s="10"/>
      <c r="AH657" s="10"/>
    </row>
    <row r="658" spans="1:34" ht="12.75">
      <c r="A658" s="1"/>
      <c r="B658" s="1"/>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10"/>
      <c r="AD658" s="10"/>
      <c r="AE658" s="10"/>
      <c r="AF658" s="10"/>
      <c r="AG658" s="10"/>
      <c r="AH658" s="10"/>
    </row>
    <row r="659" spans="1:34" ht="12.75">
      <c r="A659" s="1"/>
      <c r="B659" s="1"/>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10"/>
      <c r="AD659" s="10"/>
      <c r="AE659" s="10"/>
      <c r="AF659" s="10"/>
      <c r="AG659" s="10"/>
      <c r="AH659" s="10"/>
    </row>
    <row r="660" spans="1:34" ht="12.75">
      <c r="A660" s="1"/>
      <c r="B660" s="1"/>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10"/>
      <c r="AD660" s="10"/>
      <c r="AE660" s="10"/>
      <c r="AF660" s="10"/>
      <c r="AG660" s="10"/>
      <c r="AH660" s="10"/>
    </row>
    <row r="661" spans="1:34" ht="12.75">
      <c r="A661" s="1"/>
      <c r="B661" s="1"/>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10"/>
      <c r="AD661" s="10"/>
      <c r="AE661" s="10"/>
      <c r="AF661" s="10"/>
      <c r="AG661" s="10"/>
      <c r="AH661" s="10"/>
    </row>
    <row r="662" spans="1:34" ht="12.75">
      <c r="A662" s="1"/>
      <c r="B662" s="1"/>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10"/>
      <c r="AD662" s="10"/>
      <c r="AE662" s="10"/>
      <c r="AF662" s="10"/>
      <c r="AG662" s="10"/>
      <c r="AH662" s="10"/>
    </row>
    <row r="663" spans="1:34" ht="12.75">
      <c r="A663" s="1"/>
      <c r="B663" s="1"/>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10"/>
      <c r="AD663" s="10"/>
      <c r="AE663" s="10"/>
      <c r="AF663" s="10"/>
      <c r="AG663" s="10"/>
      <c r="AH663" s="10"/>
    </row>
    <row r="664" spans="1:34" ht="12.75">
      <c r="A664" s="1"/>
      <c r="B664" s="1"/>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10"/>
      <c r="AD664" s="10"/>
      <c r="AE664" s="10"/>
      <c r="AF664" s="10"/>
      <c r="AG664" s="10"/>
      <c r="AH664" s="10"/>
    </row>
    <row r="665" spans="1:34" ht="12.75">
      <c r="A665" s="1"/>
      <c r="B665" s="1"/>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10"/>
      <c r="AD665" s="10"/>
      <c r="AE665" s="10"/>
      <c r="AF665" s="10"/>
      <c r="AG665" s="10"/>
      <c r="AH665" s="10"/>
    </row>
    <row r="666" spans="1:34" ht="12.75">
      <c r="A666" s="1"/>
      <c r="B666" s="1"/>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10"/>
      <c r="AD666" s="10"/>
      <c r="AE666" s="10"/>
      <c r="AF666" s="10"/>
      <c r="AG666" s="10"/>
      <c r="AH666" s="10"/>
    </row>
    <row r="667" spans="1:34" ht="12.75">
      <c r="A667" s="1"/>
      <c r="B667" s="1"/>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10"/>
      <c r="AD667" s="10"/>
      <c r="AE667" s="10"/>
      <c r="AF667" s="10"/>
      <c r="AG667" s="10"/>
      <c r="AH667" s="10"/>
    </row>
    <row r="668" spans="1:34" ht="12.75">
      <c r="A668" s="1"/>
      <c r="B668" s="1"/>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10"/>
      <c r="AD668" s="10"/>
      <c r="AE668" s="10"/>
      <c r="AF668" s="10"/>
      <c r="AG668" s="10"/>
      <c r="AH668" s="10"/>
    </row>
    <row r="669" spans="1:34" ht="12.75">
      <c r="A669" s="1"/>
      <c r="B669" s="1"/>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10"/>
      <c r="AD669" s="10"/>
      <c r="AE669" s="10"/>
      <c r="AF669" s="10"/>
      <c r="AG669" s="10"/>
      <c r="AH669" s="10"/>
    </row>
    <row r="670" spans="1:34" ht="12.75">
      <c r="A670" s="1"/>
      <c r="B670" s="1"/>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10"/>
      <c r="AD670" s="10"/>
      <c r="AE670" s="10"/>
      <c r="AF670" s="10"/>
      <c r="AG670" s="10"/>
      <c r="AH670" s="10"/>
    </row>
    <row r="671" spans="1:34" ht="12.75">
      <c r="A671" s="1"/>
      <c r="B671" s="1"/>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10"/>
      <c r="AD671" s="10"/>
      <c r="AE671" s="10"/>
      <c r="AF671" s="10"/>
      <c r="AG671" s="10"/>
      <c r="AH671" s="10"/>
    </row>
    <row r="672" spans="1:34" ht="12.75">
      <c r="A672" s="1"/>
      <c r="B672" s="1"/>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10"/>
      <c r="AD672" s="10"/>
      <c r="AE672" s="10"/>
      <c r="AF672" s="10"/>
      <c r="AG672" s="10"/>
      <c r="AH672" s="10"/>
    </row>
    <row r="673" spans="1:34" ht="12.75">
      <c r="A673" s="1"/>
      <c r="B673" s="1"/>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10"/>
      <c r="AD673" s="10"/>
      <c r="AE673" s="10"/>
      <c r="AF673" s="10"/>
      <c r="AG673" s="10"/>
      <c r="AH673" s="10"/>
    </row>
    <row r="674" spans="1:34" ht="12.75">
      <c r="A674" s="1"/>
      <c r="B674" s="1"/>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10"/>
      <c r="AD674" s="10"/>
      <c r="AE674" s="10"/>
      <c r="AF674" s="10"/>
      <c r="AG674" s="10"/>
      <c r="AH674" s="10"/>
    </row>
    <row r="675" spans="1:34" ht="12.75">
      <c r="A675" s="1"/>
      <c r="B675" s="1"/>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10"/>
      <c r="AD675" s="10"/>
      <c r="AE675" s="10"/>
      <c r="AF675" s="10"/>
      <c r="AG675" s="10"/>
      <c r="AH675" s="10"/>
    </row>
    <row r="676" spans="1:34" ht="12.75">
      <c r="A676" s="1"/>
      <c r="B676" s="1"/>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10"/>
      <c r="AD676" s="10"/>
      <c r="AE676" s="10"/>
      <c r="AF676" s="10"/>
      <c r="AG676" s="10"/>
      <c r="AH676" s="10"/>
    </row>
    <row r="677" spans="1:34" ht="12.75">
      <c r="A677" s="1"/>
      <c r="B677" s="1"/>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10"/>
      <c r="AD677" s="10"/>
      <c r="AE677" s="10"/>
      <c r="AF677" s="10"/>
      <c r="AG677" s="10"/>
      <c r="AH677" s="10"/>
    </row>
    <row r="678" spans="1:34" ht="12.75">
      <c r="A678" s="1"/>
      <c r="B678" s="1"/>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10"/>
      <c r="AD678" s="10"/>
      <c r="AE678" s="10"/>
      <c r="AF678" s="10"/>
      <c r="AG678" s="10"/>
      <c r="AH678" s="10"/>
    </row>
    <row r="679" spans="1:34" ht="12.75">
      <c r="A679" s="1"/>
      <c r="B679" s="1"/>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10"/>
      <c r="AD679" s="10"/>
      <c r="AE679" s="10"/>
      <c r="AF679" s="10"/>
      <c r="AG679" s="10"/>
      <c r="AH679" s="10"/>
    </row>
    <row r="680" spans="1:34" ht="12.75">
      <c r="A680" s="1"/>
      <c r="B680" s="1"/>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10"/>
      <c r="AD680" s="10"/>
      <c r="AE680" s="10"/>
      <c r="AF680" s="10"/>
      <c r="AG680" s="10"/>
      <c r="AH680" s="10"/>
    </row>
    <row r="681" spans="1:34" ht="12.75">
      <c r="A681" s="1"/>
      <c r="B681" s="1"/>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10"/>
      <c r="AD681" s="10"/>
      <c r="AE681" s="10"/>
      <c r="AF681" s="10"/>
      <c r="AG681" s="10"/>
      <c r="AH681" s="10"/>
    </row>
    <row r="682" spans="1:34" ht="12.75">
      <c r="A682" s="1"/>
      <c r="B682" s="1"/>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10"/>
      <c r="AD682" s="10"/>
      <c r="AE682" s="10"/>
      <c r="AF682" s="10"/>
      <c r="AG682" s="10"/>
      <c r="AH682" s="10"/>
    </row>
    <row r="683" spans="1:34" ht="12.75">
      <c r="A683" s="1"/>
      <c r="B683" s="1"/>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10"/>
      <c r="AD683" s="10"/>
      <c r="AE683" s="10"/>
      <c r="AF683" s="10"/>
      <c r="AG683" s="10"/>
      <c r="AH683" s="10"/>
    </row>
    <row r="684" spans="1:34" ht="12.75">
      <c r="A684" s="1"/>
      <c r="B684" s="1"/>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10"/>
      <c r="AD684" s="10"/>
      <c r="AE684" s="10"/>
      <c r="AF684" s="10"/>
      <c r="AG684" s="10"/>
      <c r="AH684" s="10"/>
    </row>
    <row r="685" spans="1:34" ht="12.75">
      <c r="A685" s="1"/>
      <c r="B685" s="1"/>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10"/>
      <c r="AD685" s="10"/>
      <c r="AE685" s="10"/>
      <c r="AF685" s="10"/>
      <c r="AG685" s="10"/>
      <c r="AH685" s="10"/>
    </row>
    <row r="686" spans="1:34" ht="12.75">
      <c r="A686" s="1"/>
      <c r="B686" s="1"/>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10"/>
      <c r="AD686" s="10"/>
      <c r="AE686" s="10"/>
      <c r="AF686" s="10"/>
      <c r="AG686" s="10"/>
      <c r="AH686" s="10"/>
    </row>
    <row r="687" spans="1:34" ht="12.75">
      <c r="A687" s="1"/>
      <c r="B687" s="1"/>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10"/>
      <c r="AD687" s="10"/>
      <c r="AE687" s="10"/>
      <c r="AF687" s="10"/>
      <c r="AG687" s="10"/>
      <c r="AH687" s="10"/>
    </row>
    <row r="688" spans="1:34" ht="12.75">
      <c r="A688" s="1"/>
      <c r="B688" s="1"/>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10"/>
      <c r="AD688" s="10"/>
      <c r="AE688" s="10"/>
      <c r="AF688" s="10"/>
      <c r="AG688" s="10"/>
      <c r="AH688" s="10"/>
    </row>
    <row r="689" spans="1:34" ht="12.75">
      <c r="A689" s="1"/>
      <c r="B689" s="1"/>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10"/>
      <c r="AD689" s="10"/>
      <c r="AE689" s="10"/>
      <c r="AF689" s="10"/>
      <c r="AG689" s="10"/>
      <c r="AH689" s="10"/>
    </row>
    <row r="690" spans="1:34" ht="12.75">
      <c r="A690" s="1"/>
      <c r="B690" s="1"/>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10"/>
      <c r="AD690" s="10"/>
      <c r="AE690" s="10"/>
      <c r="AF690" s="10"/>
      <c r="AG690" s="10"/>
      <c r="AH690" s="10"/>
    </row>
    <row r="691" spans="1:34" ht="12.75">
      <c r="A691" s="1"/>
      <c r="B691" s="1"/>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10"/>
      <c r="AD691" s="10"/>
      <c r="AE691" s="10"/>
      <c r="AF691" s="10"/>
      <c r="AG691" s="10"/>
      <c r="AH691" s="10"/>
    </row>
    <row r="692" spans="1:34" ht="12.75">
      <c r="A692" s="1"/>
      <c r="B692" s="1"/>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10"/>
      <c r="AD692" s="10"/>
      <c r="AE692" s="10"/>
      <c r="AF692" s="10"/>
      <c r="AG692" s="10"/>
      <c r="AH692" s="10"/>
    </row>
    <row r="693" spans="1:34" ht="12.75">
      <c r="A693" s="1"/>
      <c r="B693" s="1"/>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10"/>
      <c r="AD693" s="10"/>
      <c r="AE693" s="10"/>
      <c r="AF693" s="10"/>
      <c r="AG693" s="10"/>
      <c r="AH693" s="10"/>
    </row>
    <row r="694" spans="1:34" ht="12.75">
      <c r="A694" s="1"/>
      <c r="B694" s="1"/>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10"/>
      <c r="AD694" s="10"/>
      <c r="AE694" s="10"/>
      <c r="AF694" s="10"/>
      <c r="AG694" s="10"/>
      <c r="AH694" s="10"/>
    </row>
    <row r="695" spans="1:34" ht="12.75">
      <c r="A695" s="1"/>
      <c r="B695" s="1"/>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10"/>
      <c r="AD695" s="10"/>
      <c r="AE695" s="10"/>
      <c r="AF695" s="10"/>
      <c r="AG695" s="10"/>
      <c r="AH695" s="10"/>
    </row>
    <row r="696" spans="1:34" ht="12.75">
      <c r="A696" s="1"/>
      <c r="B696" s="1"/>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10"/>
      <c r="AD696" s="10"/>
      <c r="AE696" s="10"/>
      <c r="AF696" s="10"/>
      <c r="AG696" s="10"/>
      <c r="AH696" s="10"/>
    </row>
    <row r="697" spans="1:34" ht="12.75">
      <c r="A697" s="1"/>
      <c r="B697" s="1"/>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10"/>
      <c r="AD697" s="10"/>
      <c r="AE697" s="10"/>
      <c r="AF697" s="10"/>
      <c r="AG697" s="10"/>
      <c r="AH697" s="10"/>
    </row>
    <row r="698" spans="1:34" ht="12.75">
      <c r="A698" s="1"/>
      <c r="B698" s="1"/>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10"/>
      <c r="AD698" s="10"/>
      <c r="AE698" s="10"/>
      <c r="AF698" s="10"/>
      <c r="AG698" s="10"/>
      <c r="AH698" s="10"/>
    </row>
    <row r="699" spans="1:34" ht="12.75">
      <c r="A699" s="1"/>
      <c r="B699" s="1"/>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10"/>
      <c r="AD699" s="10"/>
      <c r="AE699" s="10"/>
      <c r="AF699" s="10"/>
      <c r="AG699" s="10"/>
      <c r="AH699" s="10"/>
    </row>
    <row r="700" spans="1:34" ht="12.75">
      <c r="A700" s="1"/>
      <c r="B700" s="1"/>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10"/>
      <c r="AD700" s="10"/>
      <c r="AE700" s="10"/>
      <c r="AF700" s="10"/>
      <c r="AG700" s="10"/>
      <c r="AH700" s="10"/>
    </row>
    <row r="701" spans="1:34" ht="12.75">
      <c r="A701" s="1"/>
      <c r="B701" s="1"/>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10"/>
      <c r="AD701" s="10"/>
      <c r="AE701" s="10"/>
      <c r="AF701" s="10"/>
      <c r="AG701" s="10"/>
      <c r="AH701" s="10"/>
    </row>
    <row r="702" spans="1:34" ht="12.75">
      <c r="A702" s="1"/>
      <c r="B702" s="1"/>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10"/>
      <c r="AD702" s="10"/>
      <c r="AE702" s="10"/>
      <c r="AF702" s="10"/>
      <c r="AG702" s="10"/>
      <c r="AH702" s="10"/>
    </row>
    <row r="703" spans="1:34" ht="12.75">
      <c r="A703" s="1"/>
      <c r="B703" s="1"/>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10"/>
      <c r="AD703" s="10"/>
      <c r="AE703" s="10"/>
      <c r="AF703" s="10"/>
      <c r="AG703" s="10"/>
      <c r="AH703" s="10"/>
    </row>
    <row r="704" spans="1:34" ht="12.75">
      <c r="A704" s="1"/>
      <c r="B704" s="1"/>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10"/>
      <c r="AD704" s="10"/>
      <c r="AE704" s="10"/>
      <c r="AF704" s="10"/>
      <c r="AG704" s="10"/>
      <c r="AH704" s="10"/>
    </row>
    <row r="705" spans="1:34" ht="12.75">
      <c r="A705" s="1"/>
      <c r="B705" s="1"/>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10"/>
      <c r="AD705" s="10"/>
      <c r="AE705" s="10"/>
      <c r="AF705" s="10"/>
      <c r="AG705" s="10"/>
      <c r="AH705" s="10"/>
    </row>
    <row r="706" spans="1:34" ht="12.75">
      <c r="A706" s="1"/>
      <c r="B706" s="1"/>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10"/>
      <c r="AD706" s="10"/>
      <c r="AE706" s="10"/>
      <c r="AF706" s="10"/>
      <c r="AG706" s="10"/>
      <c r="AH706" s="10"/>
    </row>
    <row r="707" spans="1:34" ht="12.75">
      <c r="A707" s="1"/>
      <c r="B707" s="1"/>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10"/>
      <c r="AD707" s="10"/>
      <c r="AE707" s="10"/>
      <c r="AF707" s="10"/>
      <c r="AG707" s="10"/>
      <c r="AH707" s="10"/>
    </row>
    <row r="708" spans="1:34" ht="12.75">
      <c r="A708" s="1"/>
      <c r="B708" s="1"/>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10"/>
      <c r="AD708" s="10"/>
      <c r="AE708" s="10"/>
      <c r="AF708" s="10"/>
      <c r="AG708" s="10"/>
      <c r="AH708" s="10"/>
    </row>
    <row r="709" spans="1:34" ht="12.75">
      <c r="A709" s="1"/>
      <c r="B709" s="1"/>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10"/>
      <c r="AD709" s="10"/>
      <c r="AE709" s="10"/>
      <c r="AF709" s="10"/>
      <c r="AG709" s="10"/>
      <c r="AH709" s="10"/>
    </row>
    <row r="710" spans="1:34" ht="12.75">
      <c r="A710" s="1"/>
      <c r="B710" s="1"/>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10"/>
      <c r="AD710" s="10"/>
      <c r="AE710" s="10"/>
      <c r="AF710" s="10"/>
      <c r="AG710" s="10"/>
      <c r="AH710" s="10"/>
    </row>
    <row r="711" spans="1:34" ht="12.75">
      <c r="A711" s="1"/>
      <c r="B711" s="1"/>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10"/>
      <c r="AD711" s="10"/>
      <c r="AE711" s="10"/>
      <c r="AF711" s="10"/>
      <c r="AG711" s="10"/>
      <c r="AH711" s="10"/>
    </row>
    <row r="712" spans="1:34" ht="12.75">
      <c r="A712" s="1"/>
      <c r="B712" s="1"/>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10"/>
      <c r="AD712" s="10"/>
      <c r="AE712" s="10"/>
      <c r="AF712" s="10"/>
      <c r="AG712" s="10"/>
      <c r="AH712" s="10"/>
    </row>
    <row r="713" spans="1:34" ht="12.75">
      <c r="A713" s="1"/>
      <c r="B713" s="1"/>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10"/>
      <c r="AD713" s="10"/>
      <c r="AE713" s="10"/>
      <c r="AF713" s="10"/>
      <c r="AG713" s="10"/>
      <c r="AH713" s="10"/>
    </row>
    <row r="714" spans="1:34" ht="12.75">
      <c r="A714" s="1"/>
      <c r="B714" s="1"/>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10"/>
      <c r="AD714" s="10"/>
      <c r="AE714" s="10"/>
      <c r="AF714" s="10"/>
      <c r="AG714" s="10"/>
      <c r="AH714" s="10"/>
    </row>
    <row r="715" spans="1:34" ht="12.75">
      <c r="A715" s="1"/>
      <c r="B715" s="1"/>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10"/>
      <c r="AD715" s="10"/>
      <c r="AE715" s="10"/>
      <c r="AF715" s="10"/>
      <c r="AG715" s="10"/>
      <c r="AH715" s="10"/>
    </row>
    <row r="716" spans="1:34" ht="12.75">
      <c r="A716" s="1"/>
      <c r="B716" s="1"/>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10"/>
      <c r="AD716" s="10"/>
      <c r="AE716" s="10"/>
      <c r="AF716" s="10"/>
      <c r="AG716" s="10"/>
      <c r="AH716" s="10"/>
    </row>
    <row r="717" spans="1:34" ht="12.75">
      <c r="A717" s="1"/>
      <c r="B717" s="1"/>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10"/>
      <c r="AD717" s="10"/>
      <c r="AE717" s="10"/>
      <c r="AF717" s="10"/>
      <c r="AG717" s="10"/>
      <c r="AH717" s="10"/>
    </row>
    <row r="718" spans="1:34" ht="12.75">
      <c r="A718" s="1"/>
      <c r="B718" s="1"/>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10"/>
      <c r="AD718" s="10"/>
      <c r="AE718" s="10"/>
      <c r="AF718" s="10"/>
      <c r="AG718" s="10"/>
      <c r="AH718" s="10"/>
    </row>
    <row r="719" spans="1:34" ht="12.75">
      <c r="A719" s="1"/>
      <c r="B719" s="1"/>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10"/>
      <c r="AD719" s="10"/>
      <c r="AE719" s="10"/>
      <c r="AF719" s="10"/>
      <c r="AG719" s="10"/>
      <c r="AH719" s="10"/>
    </row>
    <row r="720" spans="1:34" ht="12.75">
      <c r="A720" s="1"/>
      <c r="B720" s="1"/>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10"/>
      <c r="AD720" s="10"/>
      <c r="AE720" s="10"/>
      <c r="AF720" s="10"/>
      <c r="AG720" s="10"/>
      <c r="AH720" s="10"/>
    </row>
    <row r="721" spans="1:34" ht="12.75">
      <c r="A721" s="1"/>
      <c r="B721" s="1"/>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10"/>
      <c r="AD721" s="10"/>
      <c r="AE721" s="10"/>
      <c r="AF721" s="10"/>
      <c r="AG721" s="10"/>
      <c r="AH721" s="10"/>
    </row>
    <row r="722" spans="1:34" ht="12.75">
      <c r="A722" s="1"/>
      <c r="B722" s="1"/>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10"/>
      <c r="AD722" s="10"/>
      <c r="AE722" s="10"/>
      <c r="AF722" s="10"/>
      <c r="AG722" s="10"/>
      <c r="AH722" s="10"/>
    </row>
    <row r="723" spans="1:34" ht="12.75">
      <c r="A723" s="1"/>
      <c r="B723" s="1"/>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10"/>
      <c r="AD723" s="10"/>
      <c r="AE723" s="10"/>
      <c r="AF723" s="10"/>
      <c r="AG723" s="10"/>
      <c r="AH723" s="10"/>
    </row>
    <row r="724" spans="1:34" ht="12.75">
      <c r="A724" s="1"/>
      <c r="B724" s="1"/>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10"/>
      <c r="AD724" s="10"/>
      <c r="AE724" s="10"/>
      <c r="AF724" s="10"/>
      <c r="AG724" s="10"/>
      <c r="AH724" s="10"/>
    </row>
    <row r="725" spans="1:34" ht="12.75">
      <c r="A725" s="1"/>
      <c r="B725" s="1"/>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10"/>
      <c r="AD725" s="10"/>
      <c r="AE725" s="10"/>
      <c r="AF725" s="10"/>
      <c r="AG725" s="10"/>
      <c r="AH725" s="10"/>
    </row>
    <row r="726" spans="1:34" ht="12.75">
      <c r="A726" s="1"/>
      <c r="B726" s="1"/>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10"/>
      <c r="AD726" s="10"/>
      <c r="AE726" s="10"/>
      <c r="AF726" s="10"/>
      <c r="AG726" s="10"/>
      <c r="AH726" s="10"/>
    </row>
    <row r="727" spans="1:34" ht="12.75">
      <c r="A727" s="1"/>
      <c r="B727" s="1"/>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10"/>
      <c r="AD727" s="10"/>
      <c r="AE727" s="10"/>
      <c r="AF727" s="10"/>
      <c r="AG727" s="10"/>
      <c r="AH727" s="10"/>
    </row>
    <row r="728" spans="1:34" ht="12.75">
      <c r="A728" s="1"/>
      <c r="B728" s="1"/>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10"/>
      <c r="AD728" s="10"/>
      <c r="AE728" s="10"/>
      <c r="AF728" s="10"/>
      <c r="AG728" s="10"/>
      <c r="AH728" s="10"/>
    </row>
    <row r="729" spans="1:34" ht="12.75">
      <c r="A729" s="1"/>
      <c r="B729" s="1"/>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10"/>
      <c r="AD729" s="10"/>
      <c r="AE729" s="10"/>
      <c r="AF729" s="10"/>
      <c r="AG729" s="10"/>
      <c r="AH729" s="10"/>
    </row>
    <row r="730" spans="1:34" ht="12.75">
      <c r="A730" s="1"/>
      <c r="B730" s="1"/>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10"/>
      <c r="AD730" s="10"/>
      <c r="AE730" s="10"/>
      <c r="AF730" s="10"/>
      <c r="AG730" s="10"/>
      <c r="AH730" s="10"/>
    </row>
    <row r="731" spans="1:34" ht="12.75">
      <c r="A731" s="1"/>
      <c r="B731" s="1"/>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10"/>
      <c r="AD731" s="10"/>
      <c r="AE731" s="10"/>
      <c r="AF731" s="10"/>
      <c r="AG731" s="10"/>
      <c r="AH731" s="10"/>
    </row>
    <row r="732" spans="1:34" ht="12.75">
      <c r="A732" s="1"/>
      <c r="B732" s="1"/>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10"/>
      <c r="AD732" s="10"/>
      <c r="AE732" s="10"/>
      <c r="AF732" s="10"/>
      <c r="AG732" s="10"/>
      <c r="AH732" s="10"/>
    </row>
    <row r="733" spans="1:34" ht="12.75">
      <c r="A733" s="1"/>
      <c r="B733" s="1"/>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10"/>
      <c r="AD733" s="10"/>
      <c r="AE733" s="10"/>
      <c r="AF733" s="10"/>
      <c r="AG733" s="10"/>
      <c r="AH733" s="10"/>
    </row>
    <row r="734" spans="1:34" ht="12.75">
      <c r="A734" s="1"/>
      <c r="B734" s="1"/>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10"/>
      <c r="AD734" s="10"/>
      <c r="AE734" s="10"/>
      <c r="AF734" s="10"/>
      <c r="AG734" s="10"/>
      <c r="AH734" s="10"/>
    </row>
    <row r="735" spans="1:34" ht="12.75">
      <c r="A735" s="1"/>
      <c r="B735" s="1"/>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10"/>
      <c r="AD735" s="10"/>
      <c r="AE735" s="10"/>
      <c r="AF735" s="10"/>
      <c r="AG735" s="10"/>
      <c r="AH735" s="10"/>
    </row>
    <row r="736" spans="1:34" ht="12.75">
      <c r="A736" s="1"/>
      <c r="B736" s="1"/>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10"/>
      <c r="AD736" s="10"/>
      <c r="AE736" s="10"/>
      <c r="AF736" s="10"/>
      <c r="AG736" s="10"/>
      <c r="AH736" s="10"/>
    </row>
    <row r="737" spans="1:34" ht="12.75">
      <c r="A737" s="1"/>
      <c r="B737" s="1"/>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10"/>
      <c r="AD737" s="10"/>
      <c r="AE737" s="10"/>
      <c r="AF737" s="10"/>
      <c r="AG737" s="10"/>
      <c r="AH737" s="10"/>
    </row>
    <row r="738" spans="1:34" ht="12.75">
      <c r="A738" s="1"/>
      <c r="B738" s="1"/>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10"/>
      <c r="AD738" s="10"/>
      <c r="AE738" s="10"/>
      <c r="AF738" s="10"/>
      <c r="AG738" s="10"/>
      <c r="AH738" s="10"/>
    </row>
    <row r="739" spans="1:34" ht="12.75">
      <c r="A739" s="1"/>
      <c r="B739" s="1"/>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10"/>
      <c r="AD739" s="10"/>
      <c r="AE739" s="10"/>
      <c r="AF739" s="10"/>
      <c r="AG739" s="10"/>
      <c r="AH739" s="10"/>
    </row>
    <row r="740" spans="1:34" ht="12.75">
      <c r="A740" s="1"/>
      <c r="B740" s="1"/>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10"/>
      <c r="AD740" s="10"/>
      <c r="AE740" s="10"/>
      <c r="AF740" s="10"/>
      <c r="AG740" s="10"/>
      <c r="AH740" s="10"/>
    </row>
    <row r="741" spans="1:34" ht="12.75">
      <c r="A741" s="1"/>
      <c r="B741" s="1"/>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10"/>
      <c r="AD741" s="10"/>
      <c r="AE741" s="10"/>
      <c r="AF741" s="10"/>
      <c r="AG741" s="10"/>
      <c r="AH741" s="10"/>
    </row>
    <row r="742" spans="1:34" ht="12.75">
      <c r="A742" s="1"/>
      <c r="B742" s="1"/>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10"/>
      <c r="AD742" s="10"/>
      <c r="AE742" s="10"/>
      <c r="AF742" s="10"/>
      <c r="AG742" s="10"/>
      <c r="AH742" s="10"/>
    </row>
    <row r="743" spans="1:34" ht="12.75">
      <c r="A743" s="1"/>
      <c r="B743" s="1"/>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10"/>
      <c r="AD743" s="10"/>
      <c r="AE743" s="10"/>
      <c r="AF743" s="10"/>
      <c r="AG743" s="10"/>
      <c r="AH743" s="10"/>
    </row>
    <row r="744" spans="1:34" ht="12.75">
      <c r="A744" s="1"/>
      <c r="B744" s="1"/>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10"/>
      <c r="AD744" s="10"/>
      <c r="AE744" s="10"/>
      <c r="AF744" s="10"/>
      <c r="AG744" s="10"/>
      <c r="AH744" s="10"/>
    </row>
    <row r="745" spans="1:34" ht="12.75">
      <c r="A745" s="1"/>
      <c r="B745" s="1"/>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10"/>
      <c r="AD745" s="10"/>
      <c r="AE745" s="10"/>
      <c r="AF745" s="10"/>
      <c r="AG745" s="10"/>
      <c r="AH745" s="10"/>
    </row>
    <row r="746" spans="1:34" ht="12.75">
      <c r="A746" s="1"/>
      <c r="B746" s="1"/>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10"/>
      <c r="AD746" s="10"/>
      <c r="AE746" s="10"/>
      <c r="AF746" s="10"/>
      <c r="AG746" s="10"/>
      <c r="AH746" s="10"/>
    </row>
    <row r="747" spans="1:34" ht="12.75">
      <c r="A747" s="1"/>
      <c r="B747" s="1"/>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10"/>
      <c r="AD747" s="10"/>
      <c r="AE747" s="10"/>
      <c r="AF747" s="10"/>
      <c r="AG747" s="10"/>
      <c r="AH747" s="10"/>
    </row>
    <row r="748" spans="1:34" ht="12.75">
      <c r="A748" s="1"/>
      <c r="B748" s="1"/>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10"/>
      <c r="AD748" s="10"/>
      <c r="AE748" s="10"/>
      <c r="AF748" s="10"/>
      <c r="AG748" s="10"/>
      <c r="AH748" s="10"/>
    </row>
    <row r="749" spans="1:34" ht="12.75">
      <c r="A749" s="1"/>
      <c r="B749" s="1"/>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10"/>
      <c r="AD749" s="10"/>
      <c r="AE749" s="10"/>
      <c r="AF749" s="10"/>
      <c r="AG749" s="10"/>
      <c r="AH749" s="10"/>
    </row>
    <row r="750" spans="1:34" ht="12.75">
      <c r="A750" s="1"/>
      <c r="B750" s="1"/>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10"/>
      <c r="AD750" s="10"/>
      <c r="AE750" s="10"/>
      <c r="AF750" s="10"/>
      <c r="AG750" s="10"/>
      <c r="AH750" s="10"/>
    </row>
    <row r="751" spans="1:34" ht="12.75">
      <c r="A751" s="1"/>
      <c r="B751" s="1"/>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10"/>
      <c r="AD751" s="10"/>
      <c r="AE751" s="10"/>
      <c r="AF751" s="10"/>
      <c r="AG751" s="10"/>
      <c r="AH751" s="10"/>
    </row>
    <row r="752" spans="1:34" ht="12.75">
      <c r="A752" s="1"/>
      <c r="B752" s="1"/>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10"/>
      <c r="AD752" s="10"/>
      <c r="AE752" s="10"/>
      <c r="AF752" s="10"/>
      <c r="AG752" s="10"/>
      <c r="AH752" s="10"/>
    </row>
    <row r="753" spans="1:34" ht="12.75">
      <c r="A753" s="1"/>
      <c r="B753" s="1"/>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10"/>
      <c r="AD753" s="10"/>
      <c r="AE753" s="10"/>
      <c r="AF753" s="10"/>
      <c r="AG753" s="10"/>
      <c r="AH753" s="10"/>
    </row>
    <row r="754" spans="1:34" ht="12.75">
      <c r="A754" s="1"/>
      <c r="B754" s="1"/>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10"/>
      <c r="AD754" s="10"/>
      <c r="AE754" s="10"/>
      <c r="AF754" s="10"/>
      <c r="AG754" s="10"/>
      <c r="AH754" s="10"/>
    </row>
    <row r="755" spans="1:34" ht="12.75">
      <c r="A755" s="1"/>
      <c r="B755" s="1"/>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10"/>
      <c r="AD755" s="10"/>
      <c r="AE755" s="10"/>
      <c r="AF755" s="10"/>
      <c r="AG755" s="10"/>
      <c r="AH755" s="10"/>
    </row>
    <row r="756" spans="1:34" ht="12.75">
      <c r="A756" s="1"/>
      <c r="B756" s="1"/>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10"/>
      <c r="AD756" s="10"/>
      <c r="AE756" s="10"/>
      <c r="AF756" s="10"/>
      <c r="AG756" s="10"/>
      <c r="AH756" s="10"/>
    </row>
    <row r="757" spans="1:34" ht="12.75">
      <c r="A757" s="1"/>
      <c r="B757" s="1"/>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10"/>
      <c r="AD757" s="10"/>
      <c r="AE757" s="10"/>
      <c r="AF757" s="10"/>
      <c r="AG757" s="10"/>
      <c r="AH757" s="10"/>
    </row>
    <row r="758" spans="1:34" ht="12.75">
      <c r="A758" s="1"/>
      <c r="B758" s="1"/>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10"/>
      <c r="AD758" s="10"/>
      <c r="AE758" s="10"/>
      <c r="AF758" s="10"/>
      <c r="AG758" s="10"/>
      <c r="AH758" s="10"/>
    </row>
    <row r="759" spans="1:34" ht="12.75">
      <c r="A759" s="1"/>
      <c r="B759" s="1"/>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10"/>
      <c r="AD759" s="10"/>
      <c r="AE759" s="10"/>
      <c r="AF759" s="10"/>
      <c r="AG759" s="10"/>
      <c r="AH759" s="10"/>
    </row>
    <row r="760" spans="1:34" ht="12.75">
      <c r="A760" s="1"/>
      <c r="B760" s="1"/>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10"/>
      <c r="AD760" s="10"/>
      <c r="AE760" s="10"/>
      <c r="AF760" s="10"/>
      <c r="AG760" s="10"/>
      <c r="AH760" s="10"/>
    </row>
    <row r="761" spans="1:34" ht="12.75">
      <c r="A761" s="1"/>
      <c r="B761" s="1"/>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10"/>
      <c r="AD761" s="10"/>
      <c r="AE761" s="10"/>
      <c r="AF761" s="10"/>
      <c r="AG761" s="10"/>
      <c r="AH761" s="10"/>
    </row>
    <row r="762" spans="1:34" ht="12.75">
      <c r="A762" s="1"/>
      <c r="B762" s="1"/>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10"/>
      <c r="AD762" s="10"/>
      <c r="AE762" s="10"/>
      <c r="AF762" s="10"/>
      <c r="AG762" s="10"/>
      <c r="AH762" s="10"/>
    </row>
    <row r="763" spans="1:34" ht="12.75">
      <c r="A763" s="1"/>
      <c r="B763" s="1"/>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10"/>
      <c r="AD763" s="10"/>
      <c r="AE763" s="10"/>
      <c r="AF763" s="10"/>
      <c r="AG763" s="10"/>
      <c r="AH763" s="10"/>
    </row>
    <row r="764" spans="1:34" ht="12.75">
      <c r="A764" s="1"/>
      <c r="B764" s="1"/>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10"/>
      <c r="AD764" s="10"/>
      <c r="AE764" s="10"/>
      <c r="AF764" s="10"/>
      <c r="AG764" s="10"/>
      <c r="AH764" s="10"/>
    </row>
    <row r="765" spans="1:34" ht="12.75">
      <c r="A765" s="1"/>
      <c r="B765" s="1"/>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10"/>
      <c r="AD765" s="10"/>
      <c r="AE765" s="10"/>
      <c r="AF765" s="10"/>
      <c r="AG765" s="10"/>
      <c r="AH765" s="10"/>
    </row>
    <row r="766" spans="1:34" ht="12.75">
      <c r="A766" s="1"/>
      <c r="B766" s="1"/>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10"/>
      <c r="AD766" s="10"/>
      <c r="AE766" s="10"/>
      <c r="AF766" s="10"/>
      <c r="AG766" s="10"/>
      <c r="AH766" s="10"/>
    </row>
    <row r="767" spans="1:34" ht="12.75">
      <c r="A767" s="1"/>
      <c r="B767" s="1"/>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10"/>
      <c r="AD767" s="10"/>
      <c r="AE767" s="10"/>
      <c r="AF767" s="10"/>
      <c r="AG767" s="10"/>
      <c r="AH767" s="10"/>
    </row>
    <row r="768" spans="1:34" ht="12.75">
      <c r="A768" s="1"/>
      <c r="B768" s="1"/>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10"/>
      <c r="AD768" s="10"/>
      <c r="AE768" s="10"/>
      <c r="AF768" s="10"/>
      <c r="AG768" s="10"/>
      <c r="AH768" s="10"/>
    </row>
    <row r="769" spans="1:34" ht="12.75">
      <c r="A769" s="1"/>
      <c r="B769" s="1"/>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10"/>
      <c r="AD769" s="10"/>
      <c r="AE769" s="10"/>
      <c r="AF769" s="10"/>
      <c r="AG769" s="10"/>
      <c r="AH769" s="10"/>
    </row>
    <row r="770" spans="1:34" ht="12.75">
      <c r="A770" s="1"/>
      <c r="B770" s="1"/>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10"/>
      <c r="AD770" s="10"/>
      <c r="AE770" s="10"/>
      <c r="AF770" s="10"/>
      <c r="AG770" s="10"/>
      <c r="AH770" s="10"/>
    </row>
    <row r="771" spans="1:34" ht="12.75">
      <c r="A771" s="1"/>
      <c r="B771" s="1"/>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10"/>
      <c r="AD771" s="10"/>
      <c r="AE771" s="10"/>
      <c r="AF771" s="10"/>
      <c r="AG771" s="10"/>
      <c r="AH771" s="10"/>
    </row>
    <row r="772" spans="1:34" ht="12.75">
      <c r="A772" s="1"/>
      <c r="B772" s="1"/>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10"/>
      <c r="AD772" s="10"/>
      <c r="AE772" s="10"/>
      <c r="AF772" s="10"/>
      <c r="AG772" s="10"/>
      <c r="AH772" s="10"/>
    </row>
    <row r="773" spans="1:34" ht="12.75">
      <c r="A773" s="1"/>
      <c r="B773" s="1"/>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10"/>
      <c r="AD773" s="10"/>
      <c r="AE773" s="10"/>
      <c r="AF773" s="10"/>
      <c r="AG773" s="10"/>
      <c r="AH773" s="10"/>
    </row>
    <row r="774" spans="1:34" ht="12.75">
      <c r="A774" s="1"/>
      <c r="B774" s="1"/>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10"/>
      <c r="AD774" s="10"/>
      <c r="AE774" s="10"/>
      <c r="AF774" s="10"/>
      <c r="AG774" s="10"/>
      <c r="AH774" s="10"/>
    </row>
    <row r="775" spans="1:34" ht="12.75">
      <c r="A775" s="1"/>
      <c r="B775" s="1"/>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10"/>
      <c r="AD775" s="10"/>
      <c r="AE775" s="10"/>
      <c r="AF775" s="10"/>
      <c r="AG775" s="10"/>
      <c r="AH775" s="10"/>
    </row>
    <row r="776" spans="1:34" ht="12.75">
      <c r="A776" s="1"/>
      <c r="B776" s="1"/>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10"/>
      <c r="AD776" s="10"/>
      <c r="AE776" s="10"/>
      <c r="AF776" s="10"/>
      <c r="AG776" s="10"/>
      <c r="AH776" s="10"/>
    </row>
    <row r="777" spans="1:34" ht="12.75">
      <c r="A777" s="1"/>
      <c r="B777" s="1"/>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10"/>
      <c r="AD777" s="10"/>
      <c r="AE777" s="10"/>
      <c r="AF777" s="10"/>
      <c r="AG777" s="10"/>
      <c r="AH777" s="10"/>
    </row>
    <row r="778" spans="1:34" ht="12.75">
      <c r="A778" s="1"/>
      <c r="B778" s="1"/>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10"/>
      <c r="AD778" s="10"/>
      <c r="AE778" s="10"/>
      <c r="AF778" s="10"/>
      <c r="AG778" s="10"/>
      <c r="AH778" s="10"/>
    </row>
    <row r="779" spans="1:34" ht="12.75">
      <c r="A779" s="1"/>
      <c r="B779" s="1"/>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10"/>
      <c r="AD779" s="10"/>
      <c r="AE779" s="10"/>
      <c r="AF779" s="10"/>
      <c r="AG779" s="10"/>
      <c r="AH779" s="10"/>
    </row>
    <row r="780" spans="1:34" ht="12.75">
      <c r="A780" s="1"/>
      <c r="B780" s="1"/>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10"/>
      <c r="AD780" s="10"/>
      <c r="AE780" s="10"/>
      <c r="AF780" s="10"/>
      <c r="AG780" s="10"/>
      <c r="AH780" s="10"/>
    </row>
    <row r="781" spans="1:34" ht="12.75">
      <c r="A781" s="1"/>
      <c r="B781" s="1"/>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10"/>
      <c r="AD781" s="10"/>
      <c r="AE781" s="10"/>
      <c r="AF781" s="10"/>
      <c r="AG781" s="10"/>
      <c r="AH781" s="10"/>
    </row>
    <row r="782" spans="1:34" ht="12.75">
      <c r="A782" s="1"/>
      <c r="B782" s="1"/>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10"/>
      <c r="AD782" s="10"/>
      <c r="AE782" s="10"/>
      <c r="AF782" s="10"/>
      <c r="AG782" s="10"/>
      <c r="AH782" s="10"/>
    </row>
    <row r="783" spans="1:34" ht="12.75">
      <c r="A783" s="1"/>
      <c r="B783" s="1"/>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10"/>
      <c r="AD783" s="10"/>
      <c r="AE783" s="10"/>
      <c r="AF783" s="10"/>
      <c r="AG783" s="10"/>
      <c r="AH783" s="10"/>
    </row>
    <row r="784" spans="1:34" ht="12.75">
      <c r="A784" s="1"/>
      <c r="B784" s="1"/>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10"/>
      <c r="AD784" s="10"/>
      <c r="AE784" s="10"/>
      <c r="AF784" s="10"/>
      <c r="AG784" s="10"/>
      <c r="AH784" s="10"/>
    </row>
    <row r="785" spans="1:34" ht="12.75">
      <c r="A785" s="1"/>
      <c r="B785" s="1"/>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10"/>
      <c r="AD785" s="10"/>
      <c r="AE785" s="10"/>
      <c r="AF785" s="10"/>
      <c r="AG785" s="10"/>
      <c r="AH785" s="10"/>
    </row>
    <row r="786" spans="1:34" ht="12.75">
      <c r="A786" s="1"/>
      <c r="B786" s="1"/>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10"/>
      <c r="AD786" s="10"/>
      <c r="AE786" s="10"/>
      <c r="AF786" s="10"/>
      <c r="AG786" s="10"/>
      <c r="AH786" s="10"/>
    </row>
    <row r="787" spans="1:34" ht="12.75">
      <c r="A787" s="1"/>
      <c r="B787" s="1"/>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10"/>
      <c r="AD787" s="10"/>
      <c r="AE787" s="10"/>
      <c r="AF787" s="10"/>
      <c r="AG787" s="10"/>
      <c r="AH787" s="10"/>
    </row>
    <row r="788" spans="1:34" ht="12.75">
      <c r="A788" s="1"/>
      <c r="B788" s="1"/>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10"/>
      <c r="AD788" s="10"/>
      <c r="AE788" s="10"/>
      <c r="AF788" s="10"/>
      <c r="AG788" s="10"/>
      <c r="AH788" s="10"/>
    </row>
    <row r="789" spans="1:34" ht="12.75">
      <c r="A789" s="1"/>
      <c r="B789" s="1"/>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10"/>
      <c r="AD789" s="10"/>
      <c r="AE789" s="10"/>
      <c r="AF789" s="10"/>
      <c r="AG789" s="10"/>
      <c r="AH789" s="10"/>
    </row>
    <row r="790" spans="1:34" ht="12.75">
      <c r="A790" s="1"/>
      <c r="B790" s="1"/>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10"/>
      <c r="AD790" s="10"/>
      <c r="AE790" s="10"/>
      <c r="AF790" s="10"/>
      <c r="AG790" s="10"/>
      <c r="AH790" s="10"/>
    </row>
    <row r="791" spans="1:34" ht="12.75">
      <c r="A791" s="1"/>
      <c r="B791" s="1"/>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10"/>
      <c r="AD791" s="10"/>
      <c r="AE791" s="10"/>
      <c r="AF791" s="10"/>
      <c r="AG791" s="10"/>
      <c r="AH791" s="10"/>
    </row>
    <row r="792" spans="1:34" ht="12.75">
      <c r="A792" s="1"/>
      <c r="B792" s="1"/>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10"/>
      <c r="AD792" s="10"/>
      <c r="AE792" s="10"/>
      <c r="AF792" s="10"/>
      <c r="AG792" s="10"/>
      <c r="AH792" s="10"/>
    </row>
    <row r="793" spans="1:34" ht="12.75">
      <c r="A793" s="1"/>
      <c r="B793" s="1"/>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10"/>
      <c r="AD793" s="10"/>
      <c r="AE793" s="10"/>
      <c r="AF793" s="10"/>
      <c r="AG793" s="10"/>
      <c r="AH793" s="10"/>
    </row>
    <row r="794" spans="1:34" ht="12.75">
      <c r="A794" s="1"/>
      <c r="B794" s="1"/>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10"/>
      <c r="AD794" s="10"/>
      <c r="AE794" s="10"/>
      <c r="AF794" s="10"/>
      <c r="AG794" s="10"/>
      <c r="AH794" s="10"/>
    </row>
    <row r="795" spans="1:34" ht="12.75">
      <c r="A795" s="1"/>
      <c r="B795" s="1"/>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10"/>
      <c r="AD795" s="10"/>
      <c r="AE795" s="10"/>
      <c r="AF795" s="10"/>
      <c r="AG795" s="10"/>
      <c r="AH795" s="10"/>
    </row>
    <row r="796" spans="1:34" ht="12.75">
      <c r="A796" s="1"/>
      <c r="B796" s="1"/>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10"/>
      <c r="AD796" s="10"/>
      <c r="AE796" s="10"/>
      <c r="AF796" s="10"/>
      <c r="AG796" s="10"/>
      <c r="AH796" s="10"/>
    </row>
    <row r="797" spans="1:34" ht="12.75">
      <c r="A797" s="1"/>
      <c r="B797" s="1"/>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10"/>
      <c r="AD797" s="10"/>
      <c r="AE797" s="10"/>
      <c r="AF797" s="10"/>
      <c r="AG797" s="10"/>
      <c r="AH797" s="10"/>
    </row>
    <row r="798" spans="1:34" ht="12.75">
      <c r="A798" s="1"/>
      <c r="B798" s="1"/>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10"/>
      <c r="AD798" s="10"/>
      <c r="AE798" s="10"/>
      <c r="AF798" s="10"/>
      <c r="AG798" s="10"/>
      <c r="AH798" s="10"/>
    </row>
    <row r="799" spans="1:34" ht="12.75">
      <c r="A799" s="1"/>
      <c r="B799" s="1"/>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10"/>
      <c r="AD799" s="10"/>
      <c r="AE799" s="10"/>
      <c r="AF799" s="10"/>
      <c r="AG799" s="10"/>
      <c r="AH799" s="10"/>
    </row>
    <row r="800" spans="1:34" ht="12.75">
      <c r="A800" s="1"/>
      <c r="B800" s="1"/>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10"/>
      <c r="AD800" s="10"/>
      <c r="AE800" s="10"/>
      <c r="AF800" s="10"/>
      <c r="AG800" s="10"/>
      <c r="AH800" s="10"/>
    </row>
    <row r="801" spans="1:34" ht="12.75">
      <c r="A801" s="1"/>
      <c r="B801" s="1"/>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10"/>
      <c r="AD801" s="10"/>
      <c r="AE801" s="10"/>
      <c r="AF801" s="10"/>
      <c r="AG801" s="10"/>
      <c r="AH801" s="10"/>
    </row>
    <row r="802" spans="1:34" ht="12.75">
      <c r="A802" s="1"/>
      <c r="B802" s="1"/>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10"/>
      <c r="AD802" s="10"/>
      <c r="AE802" s="10"/>
      <c r="AF802" s="10"/>
      <c r="AG802" s="10"/>
      <c r="AH802" s="10"/>
    </row>
    <row r="803" spans="1:34" ht="12.75">
      <c r="A803" s="1"/>
      <c r="B803" s="1"/>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10"/>
      <c r="AD803" s="10"/>
      <c r="AE803" s="10"/>
      <c r="AF803" s="10"/>
      <c r="AG803" s="10"/>
      <c r="AH803" s="10"/>
    </row>
    <row r="804" spans="1:34" ht="12.75">
      <c r="A804" s="1"/>
      <c r="B804" s="1"/>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10"/>
      <c r="AD804" s="10"/>
      <c r="AE804" s="10"/>
      <c r="AF804" s="10"/>
      <c r="AG804" s="10"/>
      <c r="AH804" s="10"/>
    </row>
    <row r="805" spans="1:34" ht="12.75">
      <c r="A805" s="1"/>
      <c r="B805" s="1"/>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10"/>
      <c r="AD805" s="10"/>
      <c r="AE805" s="10"/>
      <c r="AF805" s="10"/>
      <c r="AG805" s="10"/>
      <c r="AH805" s="10"/>
    </row>
    <row r="806" spans="1:34" ht="12.75">
      <c r="A806" s="1"/>
      <c r="B806" s="1"/>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10"/>
      <c r="AD806" s="10"/>
      <c r="AE806" s="10"/>
      <c r="AF806" s="10"/>
      <c r="AG806" s="10"/>
      <c r="AH806" s="10"/>
    </row>
    <row r="807" spans="1:34" ht="12.75">
      <c r="A807" s="1"/>
      <c r="B807" s="1"/>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10"/>
      <c r="AD807" s="10"/>
      <c r="AE807" s="10"/>
      <c r="AF807" s="10"/>
      <c r="AG807" s="10"/>
      <c r="AH807" s="10"/>
    </row>
    <row r="808" spans="1:34" ht="12.75">
      <c r="A808" s="1"/>
      <c r="B808" s="1"/>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10"/>
      <c r="AD808" s="10"/>
      <c r="AE808" s="10"/>
      <c r="AF808" s="10"/>
      <c r="AG808" s="10"/>
      <c r="AH808" s="10"/>
    </row>
    <row r="809" spans="1:34" ht="12.75">
      <c r="A809" s="1"/>
      <c r="B809" s="1"/>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10"/>
      <c r="AD809" s="10"/>
      <c r="AE809" s="10"/>
      <c r="AF809" s="10"/>
      <c r="AG809" s="10"/>
      <c r="AH809" s="10"/>
    </row>
    <row r="810" spans="1:34" ht="12.75">
      <c r="A810" s="1"/>
      <c r="B810" s="1"/>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10"/>
      <c r="AD810" s="10"/>
      <c r="AE810" s="10"/>
      <c r="AF810" s="10"/>
      <c r="AG810" s="10"/>
      <c r="AH810" s="10"/>
    </row>
    <row r="811" spans="1:34" ht="12.75">
      <c r="A811" s="1"/>
      <c r="B811" s="1"/>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10"/>
      <c r="AD811" s="10"/>
      <c r="AE811" s="10"/>
      <c r="AF811" s="10"/>
      <c r="AG811" s="10"/>
      <c r="AH811" s="10"/>
    </row>
    <row r="812" spans="1:34" ht="12.75">
      <c r="A812" s="1"/>
      <c r="B812" s="1"/>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10"/>
      <c r="AD812" s="10"/>
      <c r="AE812" s="10"/>
      <c r="AF812" s="10"/>
      <c r="AG812" s="10"/>
      <c r="AH812" s="10"/>
    </row>
    <row r="813" spans="1:34" ht="12.75">
      <c r="A813" s="1"/>
      <c r="B813" s="1"/>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10"/>
      <c r="AD813" s="10"/>
      <c r="AE813" s="10"/>
      <c r="AF813" s="10"/>
      <c r="AG813" s="10"/>
      <c r="AH813" s="10"/>
    </row>
    <row r="814" spans="1:34" ht="12.75">
      <c r="A814" s="1"/>
      <c r="B814" s="1"/>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10"/>
      <c r="AD814" s="10"/>
      <c r="AE814" s="10"/>
      <c r="AF814" s="10"/>
      <c r="AG814" s="10"/>
      <c r="AH814" s="10"/>
    </row>
    <row r="815" spans="1:34" ht="12.75">
      <c r="A815" s="1"/>
      <c r="B815" s="1"/>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10"/>
      <c r="AD815" s="10"/>
      <c r="AE815" s="10"/>
      <c r="AF815" s="10"/>
      <c r="AG815" s="10"/>
      <c r="AH815" s="10"/>
    </row>
    <row r="816" spans="1:34" ht="12.75">
      <c r="A816" s="1"/>
      <c r="B816" s="1"/>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10"/>
      <c r="AD816" s="10"/>
      <c r="AE816" s="10"/>
      <c r="AF816" s="10"/>
      <c r="AG816" s="10"/>
      <c r="AH816" s="10"/>
    </row>
    <row r="817" spans="1:34" ht="12.75">
      <c r="A817" s="1"/>
      <c r="B817" s="1"/>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10"/>
      <c r="AD817" s="10"/>
      <c r="AE817" s="10"/>
      <c r="AF817" s="10"/>
      <c r="AG817" s="10"/>
      <c r="AH817" s="10"/>
    </row>
    <row r="818" spans="1:34" ht="12.75">
      <c r="A818" s="1"/>
      <c r="B818" s="1"/>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10"/>
      <c r="AD818" s="10"/>
      <c r="AE818" s="10"/>
      <c r="AF818" s="10"/>
      <c r="AG818" s="10"/>
      <c r="AH818" s="10"/>
    </row>
    <row r="819" spans="1:34" ht="12.75">
      <c r="A819" s="1"/>
      <c r="B819" s="1"/>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10"/>
      <c r="AD819" s="10"/>
      <c r="AE819" s="10"/>
      <c r="AF819" s="10"/>
      <c r="AG819" s="10"/>
      <c r="AH819" s="10"/>
    </row>
    <row r="820" spans="1:34" ht="12.75">
      <c r="A820" s="1"/>
      <c r="B820" s="1"/>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10"/>
      <c r="AD820" s="10"/>
      <c r="AE820" s="10"/>
      <c r="AF820" s="10"/>
      <c r="AG820" s="10"/>
      <c r="AH820" s="10"/>
    </row>
    <row r="821" spans="1:34" ht="12.75">
      <c r="A821" s="1"/>
      <c r="B821" s="1"/>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10"/>
      <c r="AD821" s="10"/>
      <c r="AE821" s="10"/>
      <c r="AF821" s="10"/>
      <c r="AG821" s="10"/>
      <c r="AH821" s="10"/>
    </row>
    <row r="822" spans="1:34" ht="12.75">
      <c r="A822" s="1"/>
      <c r="B822" s="1"/>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10"/>
      <c r="AD822" s="10"/>
      <c r="AE822" s="10"/>
      <c r="AF822" s="10"/>
      <c r="AG822" s="10"/>
      <c r="AH822" s="10"/>
    </row>
    <row r="823" spans="1:34" ht="12.75">
      <c r="A823" s="1"/>
      <c r="B823" s="1"/>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10"/>
      <c r="AD823" s="10"/>
      <c r="AE823" s="10"/>
      <c r="AF823" s="10"/>
      <c r="AG823" s="10"/>
      <c r="AH823" s="10"/>
    </row>
    <row r="824" spans="1:34" ht="12.75">
      <c r="A824" s="1"/>
      <c r="B824" s="1"/>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10"/>
      <c r="AD824" s="10"/>
      <c r="AE824" s="10"/>
      <c r="AF824" s="10"/>
      <c r="AG824" s="10"/>
      <c r="AH824" s="10"/>
    </row>
    <row r="825" spans="1:34" ht="12.75">
      <c r="A825" s="1"/>
      <c r="B825" s="1"/>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10"/>
      <c r="AD825" s="10"/>
      <c r="AE825" s="10"/>
      <c r="AF825" s="10"/>
      <c r="AG825" s="10"/>
      <c r="AH825" s="10"/>
    </row>
    <row r="826" spans="1:34" ht="12.75">
      <c r="A826" s="1"/>
      <c r="B826" s="1"/>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10"/>
      <c r="AD826" s="10"/>
      <c r="AE826" s="10"/>
      <c r="AF826" s="10"/>
      <c r="AG826" s="10"/>
      <c r="AH826" s="10"/>
    </row>
    <row r="827" spans="1:34" ht="12.75">
      <c r="A827" s="1"/>
      <c r="B827" s="1"/>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10"/>
      <c r="AD827" s="10"/>
      <c r="AE827" s="10"/>
      <c r="AF827" s="10"/>
      <c r="AG827" s="10"/>
      <c r="AH827" s="10"/>
    </row>
    <row r="828" spans="1:34" ht="12.75">
      <c r="A828" s="1"/>
      <c r="B828" s="1"/>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10"/>
      <c r="AD828" s="10"/>
      <c r="AE828" s="10"/>
      <c r="AF828" s="10"/>
      <c r="AG828" s="10"/>
      <c r="AH828" s="10"/>
    </row>
    <row r="829" spans="1:34" ht="12.75">
      <c r="A829" s="1"/>
      <c r="B829" s="1"/>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10"/>
      <c r="AD829" s="10"/>
      <c r="AE829" s="10"/>
      <c r="AF829" s="10"/>
      <c r="AG829" s="10"/>
      <c r="AH829" s="10"/>
    </row>
    <row r="830" spans="1:34" ht="12.75">
      <c r="A830" s="1"/>
      <c r="B830" s="1"/>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10"/>
      <c r="AD830" s="10"/>
      <c r="AE830" s="10"/>
      <c r="AF830" s="10"/>
      <c r="AG830" s="10"/>
      <c r="AH830" s="10"/>
    </row>
    <row r="831" spans="1:34" ht="12.75">
      <c r="A831" s="1"/>
      <c r="B831" s="1"/>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10"/>
      <c r="AD831" s="10"/>
      <c r="AE831" s="10"/>
      <c r="AF831" s="10"/>
      <c r="AG831" s="10"/>
      <c r="AH831" s="10"/>
    </row>
    <row r="832" spans="1:34" ht="12.75">
      <c r="A832" s="1"/>
      <c r="B832" s="1"/>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10"/>
      <c r="AD832" s="10"/>
      <c r="AE832" s="10"/>
      <c r="AF832" s="10"/>
      <c r="AG832" s="10"/>
      <c r="AH832" s="10"/>
    </row>
    <row r="833" spans="1:34" ht="12.75">
      <c r="A833" s="1"/>
      <c r="B833" s="1"/>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10"/>
      <c r="AD833" s="10"/>
      <c r="AE833" s="10"/>
      <c r="AF833" s="10"/>
      <c r="AG833" s="10"/>
      <c r="AH833" s="10"/>
    </row>
    <row r="834" spans="1:34" ht="12.75">
      <c r="A834" s="1"/>
      <c r="B834" s="1"/>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10"/>
      <c r="AD834" s="10"/>
      <c r="AE834" s="10"/>
      <c r="AF834" s="10"/>
      <c r="AG834" s="10"/>
      <c r="AH834" s="10"/>
    </row>
    <row r="835" spans="1:34" ht="12.75">
      <c r="A835" s="1"/>
      <c r="B835" s="1"/>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10"/>
      <c r="AD835" s="10"/>
      <c r="AE835" s="10"/>
      <c r="AF835" s="10"/>
      <c r="AG835" s="10"/>
      <c r="AH835" s="10"/>
    </row>
    <row r="836" spans="1:34" ht="12.75">
      <c r="A836" s="1"/>
      <c r="B836" s="1"/>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10"/>
      <c r="AD836" s="10"/>
      <c r="AE836" s="10"/>
      <c r="AF836" s="10"/>
      <c r="AG836" s="10"/>
      <c r="AH836" s="10"/>
    </row>
    <row r="837" spans="1:34" ht="12.75">
      <c r="A837" s="1"/>
      <c r="B837" s="1"/>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10"/>
      <c r="AD837" s="10"/>
      <c r="AE837" s="10"/>
      <c r="AF837" s="10"/>
      <c r="AG837" s="10"/>
      <c r="AH837" s="10"/>
    </row>
    <row r="838" spans="1:34" ht="12.75">
      <c r="A838" s="1"/>
      <c r="B838" s="1"/>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10"/>
      <c r="AD838" s="10"/>
      <c r="AE838" s="10"/>
      <c r="AF838" s="10"/>
      <c r="AG838" s="10"/>
      <c r="AH838" s="10"/>
    </row>
    <row r="839" spans="1:34" ht="12.75">
      <c r="A839" s="1"/>
      <c r="B839" s="1"/>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10"/>
      <c r="AD839" s="10"/>
      <c r="AE839" s="10"/>
      <c r="AF839" s="10"/>
      <c r="AG839" s="10"/>
      <c r="AH839" s="10"/>
    </row>
    <row r="840" spans="1:34" ht="12.75">
      <c r="A840" s="1"/>
      <c r="B840" s="1"/>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10"/>
      <c r="AD840" s="10"/>
      <c r="AE840" s="10"/>
      <c r="AF840" s="10"/>
      <c r="AG840" s="10"/>
      <c r="AH840" s="10"/>
    </row>
    <row r="841" spans="1:34" ht="12.75">
      <c r="A841" s="1"/>
      <c r="B841" s="1"/>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10"/>
      <c r="AD841" s="10"/>
      <c r="AE841" s="10"/>
      <c r="AF841" s="10"/>
      <c r="AG841" s="10"/>
      <c r="AH841" s="10"/>
    </row>
    <row r="842" spans="1:34" ht="12.75">
      <c r="A842" s="1"/>
      <c r="B842" s="1"/>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10"/>
      <c r="AD842" s="10"/>
      <c r="AE842" s="10"/>
      <c r="AF842" s="10"/>
      <c r="AG842" s="10"/>
      <c r="AH842" s="10"/>
    </row>
    <row r="843" spans="1:34" ht="12.75">
      <c r="A843" s="1"/>
      <c r="B843" s="1"/>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10"/>
      <c r="AD843" s="10"/>
      <c r="AE843" s="10"/>
      <c r="AF843" s="10"/>
      <c r="AG843" s="10"/>
      <c r="AH843" s="10"/>
    </row>
    <row r="844" spans="1:34" ht="12.75">
      <c r="A844" s="1"/>
      <c r="B844" s="1"/>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10"/>
      <c r="AD844" s="10"/>
      <c r="AE844" s="10"/>
      <c r="AF844" s="10"/>
      <c r="AG844" s="10"/>
      <c r="AH844" s="10"/>
    </row>
    <row r="845" spans="1:34" ht="12.75">
      <c r="A845" s="1"/>
      <c r="B845" s="1"/>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10"/>
      <c r="AD845" s="10"/>
      <c r="AE845" s="10"/>
      <c r="AF845" s="10"/>
      <c r="AG845" s="10"/>
      <c r="AH845" s="10"/>
    </row>
    <row r="846" spans="1:34" ht="12.75">
      <c r="A846" s="1"/>
      <c r="B846" s="1"/>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10"/>
      <c r="AD846" s="10"/>
      <c r="AE846" s="10"/>
      <c r="AF846" s="10"/>
      <c r="AG846" s="10"/>
      <c r="AH846" s="10"/>
    </row>
    <row r="847" spans="1:34" ht="12.75">
      <c r="A847" s="1"/>
      <c r="B847" s="1"/>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10"/>
      <c r="AD847" s="10"/>
      <c r="AE847" s="10"/>
      <c r="AF847" s="10"/>
      <c r="AG847" s="10"/>
      <c r="AH847" s="10"/>
    </row>
    <row r="848" spans="1:34" ht="12.75">
      <c r="A848" s="1"/>
      <c r="B848" s="1"/>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10"/>
      <c r="AD848" s="10"/>
      <c r="AE848" s="10"/>
      <c r="AF848" s="10"/>
      <c r="AG848" s="10"/>
      <c r="AH848" s="10"/>
    </row>
    <row r="849" spans="1:34" ht="12.75">
      <c r="A849" s="1"/>
      <c r="B849" s="1"/>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10"/>
      <c r="AD849" s="10"/>
      <c r="AE849" s="10"/>
      <c r="AF849" s="10"/>
      <c r="AG849" s="10"/>
      <c r="AH849" s="10"/>
    </row>
    <row r="850" spans="1:34" ht="12.75">
      <c r="A850" s="1"/>
      <c r="B850" s="1"/>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10"/>
      <c r="AD850" s="10"/>
      <c r="AE850" s="10"/>
      <c r="AF850" s="10"/>
      <c r="AG850" s="10"/>
      <c r="AH850" s="10"/>
    </row>
    <row r="851" spans="1:34" ht="12.75">
      <c r="A851" s="1"/>
      <c r="B851" s="1"/>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10"/>
      <c r="AD851" s="10"/>
      <c r="AE851" s="10"/>
      <c r="AF851" s="10"/>
      <c r="AG851" s="10"/>
      <c r="AH851" s="10"/>
    </row>
    <row r="852" spans="1:34" ht="12.75">
      <c r="A852" s="1"/>
      <c r="B852" s="1"/>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10"/>
      <c r="AD852" s="10"/>
      <c r="AE852" s="10"/>
      <c r="AF852" s="10"/>
      <c r="AG852" s="10"/>
      <c r="AH852" s="10"/>
    </row>
    <row r="853" spans="1:34" ht="12.75">
      <c r="A853" s="1"/>
      <c r="B853" s="1"/>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10"/>
      <c r="AD853" s="10"/>
      <c r="AE853" s="10"/>
      <c r="AF853" s="10"/>
      <c r="AG853" s="10"/>
      <c r="AH853" s="10"/>
    </row>
    <row r="854" spans="1:34" ht="12.75">
      <c r="A854" s="1"/>
      <c r="B854" s="1"/>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10"/>
      <c r="AD854" s="10"/>
      <c r="AE854" s="10"/>
      <c r="AF854" s="10"/>
      <c r="AG854" s="10"/>
      <c r="AH854" s="10"/>
    </row>
    <row r="855" spans="1:34" ht="12.75">
      <c r="A855" s="1"/>
      <c r="B855" s="1"/>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10"/>
      <c r="AD855" s="10"/>
      <c r="AE855" s="10"/>
      <c r="AF855" s="10"/>
      <c r="AG855" s="10"/>
      <c r="AH855" s="10"/>
    </row>
    <row r="856" spans="1:34" ht="12.75">
      <c r="A856" s="1"/>
      <c r="B856" s="1"/>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10"/>
      <c r="AD856" s="10"/>
      <c r="AE856" s="10"/>
      <c r="AF856" s="10"/>
      <c r="AG856" s="10"/>
      <c r="AH856" s="10"/>
    </row>
    <row r="857" spans="1:34" ht="12.75">
      <c r="A857" s="1"/>
      <c r="B857" s="1"/>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10"/>
      <c r="AD857" s="10"/>
      <c r="AE857" s="10"/>
      <c r="AF857" s="10"/>
      <c r="AG857" s="10"/>
      <c r="AH857" s="10"/>
    </row>
    <row r="858" spans="1:34" ht="12.75">
      <c r="A858" s="1"/>
      <c r="B858" s="1"/>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10"/>
      <c r="AD858" s="10"/>
      <c r="AE858" s="10"/>
      <c r="AF858" s="10"/>
      <c r="AG858" s="10"/>
      <c r="AH858" s="10"/>
    </row>
    <row r="859" spans="1:34" ht="12.75">
      <c r="A859" s="1"/>
      <c r="B859" s="1"/>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10"/>
      <c r="AD859" s="10"/>
      <c r="AE859" s="10"/>
      <c r="AF859" s="10"/>
      <c r="AG859" s="10"/>
      <c r="AH859" s="10"/>
    </row>
    <row r="860" spans="1:34" ht="12.75">
      <c r="A860" s="1"/>
      <c r="B860" s="1"/>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10"/>
      <c r="AD860" s="10"/>
      <c r="AE860" s="10"/>
      <c r="AF860" s="10"/>
      <c r="AG860" s="10"/>
      <c r="AH860" s="10"/>
    </row>
    <row r="861" spans="1:34" ht="12.75">
      <c r="A861" s="1"/>
      <c r="B861" s="1"/>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10"/>
      <c r="AD861" s="10"/>
      <c r="AE861" s="10"/>
      <c r="AF861" s="10"/>
      <c r="AG861" s="10"/>
      <c r="AH861" s="10"/>
    </row>
    <row r="862" spans="1:34" ht="12.75">
      <c r="A862" s="1"/>
      <c r="B862" s="1"/>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10"/>
      <c r="AD862" s="10"/>
      <c r="AE862" s="10"/>
      <c r="AF862" s="10"/>
      <c r="AG862" s="10"/>
      <c r="AH862" s="10"/>
    </row>
    <row r="863" spans="1:34" ht="12.75">
      <c r="A863" s="1"/>
      <c r="B863" s="1"/>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10"/>
      <c r="AD863" s="10"/>
      <c r="AE863" s="10"/>
      <c r="AF863" s="10"/>
      <c r="AG863" s="10"/>
      <c r="AH863" s="10"/>
    </row>
    <row r="864" spans="1:34" ht="12.75">
      <c r="A864" s="1"/>
      <c r="B864" s="1"/>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10"/>
      <c r="AD864" s="10"/>
      <c r="AE864" s="10"/>
      <c r="AF864" s="10"/>
      <c r="AG864" s="10"/>
      <c r="AH864" s="10"/>
    </row>
    <row r="865" spans="1:34" ht="12.75">
      <c r="A865" s="1"/>
      <c r="B865" s="1"/>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10"/>
      <c r="AD865" s="10"/>
      <c r="AE865" s="10"/>
      <c r="AF865" s="10"/>
      <c r="AG865" s="10"/>
      <c r="AH865" s="10"/>
    </row>
    <row r="866" spans="1:34" ht="12.75">
      <c r="A866" s="1"/>
      <c r="B866" s="1"/>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10"/>
      <c r="AD866" s="10"/>
      <c r="AE866" s="10"/>
      <c r="AF866" s="10"/>
      <c r="AG866" s="10"/>
      <c r="AH866" s="10"/>
    </row>
    <row r="867" spans="1:34" ht="12.75">
      <c r="A867" s="1"/>
      <c r="B867" s="1"/>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10"/>
      <c r="AD867" s="10"/>
      <c r="AE867" s="10"/>
      <c r="AF867" s="10"/>
      <c r="AG867" s="10"/>
      <c r="AH867" s="10"/>
    </row>
    <row r="868" spans="1:34" ht="12.75">
      <c r="A868" s="1"/>
      <c r="B868" s="1"/>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10"/>
      <c r="AD868" s="10"/>
      <c r="AE868" s="10"/>
      <c r="AF868" s="10"/>
      <c r="AG868" s="10"/>
      <c r="AH868" s="10"/>
    </row>
    <row r="869" spans="1:34" ht="12.75">
      <c r="A869" s="1"/>
      <c r="B869" s="1"/>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10"/>
      <c r="AD869" s="10"/>
      <c r="AE869" s="10"/>
      <c r="AF869" s="10"/>
      <c r="AG869" s="10"/>
      <c r="AH869" s="10"/>
    </row>
    <row r="870" spans="1:34" ht="12.75">
      <c r="A870" s="1"/>
      <c r="B870" s="1"/>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10"/>
      <c r="AD870" s="10"/>
      <c r="AE870" s="10"/>
      <c r="AF870" s="10"/>
      <c r="AG870" s="10"/>
      <c r="AH870" s="10"/>
    </row>
    <row r="871" spans="1:34" ht="12.75">
      <c r="A871" s="1"/>
      <c r="B871" s="1"/>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10"/>
      <c r="AD871" s="10"/>
      <c r="AE871" s="10"/>
      <c r="AF871" s="10"/>
      <c r="AG871" s="10"/>
      <c r="AH871" s="10"/>
    </row>
    <row r="872" spans="1:34" ht="12.75">
      <c r="A872" s="1"/>
      <c r="B872" s="1"/>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10"/>
      <c r="AD872" s="10"/>
      <c r="AE872" s="10"/>
      <c r="AF872" s="10"/>
      <c r="AG872" s="10"/>
      <c r="AH872" s="10"/>
    </row>
    <row r="873" spans="1:34" ht="12.75">
      <c r="A873" s="1"/>
      <c r="B873" s="1"/>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10"/>
      <c r="AD873" s="10"/>
      <c r="AE873" s="10"/>
      <c r="AF873" s="10"/>
      <c r="AG873" s="10"/>
      <c r="AH873" s="10"/>
    </row>
    <row r="874" spans="1:34" ht="12.75">
      <c r="A874" s="1"/>
      <c r="B874" s="1"/>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10"/>
      <c r="AD874" s="10"/>
      <c r="AE874" s="10"/>
      <c r="AF874" s="10"/>
      <c r="AG874" s="10"/>
      <c r="AH874" s="10"/>
    </row>
    <row r="875" spans="1:34" ht="12.75">
      <c r="A875" s="1"/>
      <c r="B875" s="1"/>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10"/>
      <c r="AD875" s="10"/>
      <c r="AE875" s="10"/>
      <c r="AF875" s="10"/>
      <c r="AG875" s="10"/>
      <c r="AH875" s="10"/>
    </row>
    <row r="876" spans="1:34" ht="12.75">
      <c r="A876" s="1"/>
      <c r="B876" s="1"/>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10"/>
      <c r="AD876" s="10"/>
      <c r="AE876" s="10"/>
      <c r="AF876" s="10"/>
      <c r="AG876" s="10"/>
      <c r="AH876" s="10"/>
    </row>
    <row r="877" spans="1:34" ht="12.75">
      <c r="A877" s="1"/>
      <c r="B877" s="1"/>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10"/>
      <c r="AD877" s="10"/>
      <c r="AE877" s="10"/>
      <c r="AF877" s="10"/>
      <c r="AG877" s="10"/>
      <c r="AH877" s="10"/>
    </row>
    <row r="878" spans="1:34" ht="12.75">
      <c r="A878" s="1"/>
      <c r="B878" s="1"/>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10"/>
      <c r="AD878" s="10"/>
      <c r="AE878" s="10"/>
      <c r="AF878" s="10"/>
      <c r="AG878" s="10"/>
      <c r="AH878" s="10"/>
    </row>
    <row r="879" spans="1:34" ht="12.75">
      <c r="A879" s="1"/>
      <c r="B879" s="1"/>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10"/>
      <c r="AD879" s="10"/>
      <c r="AE879" s="10"/>
      <c r="AF879" s="10"/>
      <c r="AG879" s="10"/>
      <c r="AH879" s="10"/>
    </row>
    <row r="880" spans="1:34" ht="12.75">
      <c r="A880" s="1"/>
      <c r="B880" s="1"/>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10"/>
      <c r="AD880" s="10"/>
      <c r="AE880" s="10"/>
      <c r="AF880" s="10"/>
      <c r="AG880" s="10"/>
      <c r="AH880" s="10"/>
    </row>
    <row r="881" spans="1:34" ht="12.75">
      <c r="A881" s="1"/>
      <c r="B881" s="1"/>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10"/>
      <c r="AD881" s="10"/>
      <c r="AE881" s="10"/>
      <c r="AF881" s="10"/>
      <c r="AG881" s="10"/>
      <c r="AH881" s="10"/>
    </row>
    <row r="882" spans="1:34" ht="12.75">
      <c r="A882" s="1"/>
      <c r="B882" s="1"/>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10"/>
      <c r="AD882" s="10"/>
      <c r="AE882" s="10"/>
      <c r="AF882" s="10"/>
      <c r="AG882" s="10"/>
      <c r="AH882" s="10"/>
    </row>
    <row r="883" spans="1:34" ht="12.75">
      <c r="A883" s="1"/>
      <c r="B883" s="1"/>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10"/>
      <c r="AD883" s="10"/>
      <c r="AE883" s="10"/>
      <c r="AF883" s="10"/>
      <c r="AG883" s="10"/>
      <c r="AH883" s="10"/>
    </row>
    <row r="884" spans="1:34" ht="12.75">
      <c r="A884" s="1"/>
      <c r="B884" s="1"/>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10"/>
      <c r="AD884" s="10"/>
      <c r="AE884" s="10"/>
      <c r="AF884" s="10"/>
      <c r="AG884" s="10"/>
      <c r="AH884" s="10"/>
    </row>
    <row r="885" spans="1:34" ht="12.75">
      <c r="A885" s="1"/>
      <c r="B885" s="1"/>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10"/>
      <c r="AD885" s="10"/>
      <c r="AE885" s="10"/>
      <c r="AF885" s="10"/>
      <c r="AG885" s="10"/>
      <c r="AH885" s="10"/>
    </row>
    <row r="886" spans="1:34" ht="12.75">
      <c r="A886" s="1"/>
      <c r="B886" s="1"/>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10"/>
      <c r="AD886" s="10"/>
      <c r="AE886" s="10"/>
      <c r="AF886" s="10"/>
      <c r="AG886" s="10"/>
      <c r="AH886" s="10"/>
    </row>
    <row r="887" spans="1:34" ht="12.75">
      <c r="A887" s="1"/>
      <c r="B887" s="1"/>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10"/>
      <c r="AD887" s="10"/>
      <c r="AE887" s="10"/>
      <c r="AF887" s="10"/>
      <c r="AG887" s="10"/>
      <c r="AH887" s="10"/>
    </row>
    <row r="888" spans="1:34" ht="12.75">
      <c r="A888" s="1"/>
      <c r="B888" s="1"/>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10"/>
      <c r="AD888" s="10"/>
      <c r="AE888" s="10"/>
      <c r="AF888" s="10"/>
      <c r="AG888" s="10"/>
      <c r="AH888" s="10"/>
    </row>
    <row r="889" spans="1:34" ht="12.75">
      <c r="A889" s="1"/>
      <c r="B889" s="1"/>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10"/>
      <c r="AD889" s="10"/>
      <c r="AE889" s="10"/>
      <c r="AF889" s="10"/>
      <c r="AG889" s="10"/>
      <c r="AH889" s="10"/>
    </row>
    <row r="890" spans="1:34" ht="12.75">
      <c r="A890" s="1"/>
      <c r="B890" s="1"/>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10"/>
      <c r="AD890" s="10"/>
      <c r="AE890" s="10"/>
      <c r="AF890" s="10"/>
      <c r="AG890" s="10"/>
      <c r="AH890" s="10"/>
    </row>
    <row r="891" spans="1:34" ht="12.75">
      <c r="A891" s="1"/>
      <c r="B891" s="1"/>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10"/>
      <c r="AD891" s="10"/>
      <c r="AE891" s="10"/>
      <c r="AF891" s="10"/>
      <c r="AG891" s="10"/>
      <c r="AH891" s="10"/>
    </row>
    <row r="892" spans="1:34" ht="12.75">
      <c r="A892" s="1"/>
      <c r="B892" s="1"/>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10"/>
      <c r="AD892" s="10"/>
      <c r="AE892" s="10"/>
      <c r="AF892" s="10"/>
      <c r="AG892" s="10"/>
      <c r="AH892" s="10"/>
    </row>
    <row r="893" spans="1:34" ht="12.75">
      <c r="A893" s="1"/>
      <c r="B893" s="1"/>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10"/>
      <c r="AD893" s="10"/>
      <c r="AE893" s="10"/>
      <c r="AF893" s="10"/>
      <c r="AG893" s="10"/>
      <c r="AH893" s="10"/>
    </row>
    <row r="894" spans="1:34" ht="12.75">
      <c r="A894" s="1"/>
      <c r="B894" s="1"/>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10"/>
      <c r="AD894" s="10"/>
      <c r="AE894" s="10"/>
      <c r="AF894" s="10"/>
      <c r="AG894" s="10"/>
      <c r="AH894" s="10"/>
    </row>
    <row r="895" spans="1:34" ht="12.75">
      <c r="A895" s="1"/>
      <c r="B895" s="1"/>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10"/>
      <c r="AD895" s="10"/>
      <c r="AE895" s="10"/>
      <c r="AF895" s="10"/>
      <c r="AG895" s="10"/>
      <c r="AH895" s="10"/>
    </row>
    <row r="896" spans="1:34" ht="12.75">
      <c r="A896" s="1"/>
      <c r="B896" s="1"/>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10"/>
      <c r="AD896" s="10"/>
      <c r="AE896" s="10"/>
      <c r="AF896" s="10"/>
      <c r="AG896" s="10"/>
      <c r="AH896" s="10"/>
    </row>
    <row r="897" spans="1:34" ht="12.75">
      <c r="A897" s="1"/>
      <c r="B897" s="1"/>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10"/>
      <c r="AD897" s="10"/>
      <c r="AE897" s="10"/>
      <c r="AF897" s="10"/>
      <c r="AG897" s="10"/>
      <c r="AH897" s="10"/>
    </row>
    <row r="898" spans="1:34" ht="12.75">
      <c r="A898" s="1"/>
      <c r="B898" s="1"/>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10"/>
      <c r="AD898" s="10"/>
      <c r="AE898" s="10"/>
      <c r="AF898" s="10"/>
      <c r="AG898" s="10"/>
      <c r="AH898" s="10"/>
    </row>
    <row r="899" spans="1:34" ht="12.75">
      <c r="A899" s="1"/>
      <c r="B899" s="1"/>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10"/>
      <c r="AD899" s="10"/>
      <c r="AE899" s="10"/>
      <c r="AF899" s="10"/>
      <c r="AG899" s="10"/>
      <c r="AH899" s="10"/>
    </row>
    <row r="900" spans="1:34" ht="12.75">
      <c r="A900" s="1"/>
      <c r="B900" s="1"/>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10"/>
      <c r="AD900" s="10"/>
      <c r="AE900" s="10"/>
      <c r="AF900" s="10"/>
      <c r="AG900" s="10"/>
      <c r="AH900" s="10"/>
    </row>
    <row r="901" spans="1:34" ht="12.75">
      <c r="A901" s="1"/>
      <c r="B901" s="1"/>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10"/>
      <c r="AD901" s="10"/>
      <c r="AE901" s="10"/>
      <c r="AF901" s="10"/>
      <c r="AG901" s="10"/>
      <c r="AH901" s="10"/>
    </row>
    <row r="902" spans="1:34" ht="12.75">
      <c r="A902" s="1"/>
      <c r="B902" s="1"/>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10"/>
      <c r="AD902" s="10"/>
      <c r="AE902" s="10"/>
      <c r="AF902" s="10"/>
      <c r="AG902" s="10"/>
      <c r="AH902" s="10"/>
    </row>
    <row r="903" spans="1:34" ht="12.75">
      <c r="A903" s="1"/>
      <c r="B903" s="1"/>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10"/>
      <c r="AD903" s="10"/>
      <c r="AE903" s="10"/>
      <c r="AF903" s="10"/>
      <c r="AG903" s="10"/>
      <c r="AH903" s="10"/>
    </row>
    <row r="904" spans="1:34" ht="12.75">
      <c r="A904" s="1"/>
      <c r="B904" s="1"/>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10"/>
      <c r="AD904" s="10"/>
      <c r="AE904" s="10"/>
      <c r="AF904" s="10"/>
      <c r="AG904" s="10"/>
      <c r="AH904" s="10"/>
    </row>
    <row r="905" spans="1:34" ht="12.75">
      <c r="A905" s="1"/>
      <c r="B905" s="1"/>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10"/>
      <c r="AD905" s="10"/>
      <c r="AE905" s="10"/>
      <c r="AF905" s="10"/>
      <c r="AG905" s="10"/>
      <c r="AH905" s="10"/>
    </row>
    <row r="906" spans="1:34" ht="12.75">
      <c r="A906" s="1"/>
      <c r="B906" s="1"/>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10"/>
      <c r="AD906" s="10"/>
      <c r="AE906" s="10"/>
      <c r="AF906" s="10"/>
      <c r="AG906" s="10"/>
      <c r="AH906" s="10"/>
    </row>
    <row r="907" spans="1:34" ht="12.75">
      <c r="A907" s="1"/>
      <c r="B907" s="1"/>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10"/>
      <c r="AD907" s="10"/>
      <c r="AE907" s="10"/>
      <c r="AF907" s="10"/>
      <c r="AG907" s="10"/>
      <c r="AH907" s="10"/>
    </row>
    <row r="908" spans="1:34" ht="12.75">
      <c r="A908" s="1"/>
      <c r="B908" s="1"/>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10"/>
      <c r="AD908" s="10"/>
      <c r="AE908" s="10"/>
      <c r="AF908" s="10"/>
      <c r="AG908" s="10"/>
      <c r="AH908" s="10"/>
    </row>
    <row r="909" spans="1:34" ht="12.75">
      <c r="A909" s="1"/>
      <c r="B909" s="1"/>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10"/>
      <c r="AD909" s="10"/>
      <c r="AE909" s="10"/>
      <c r="AF909" s="10"/>
      <c r="AG909" s="10"/>
      <c r="AH909" s="10"/>
    </row>
    <row r="910" spans="1:34" ht="12.75">
      <c r="A910" s="1"/>
      <c r="B910" s="1"/>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10"/>
      <c r="AD910" s="10"/>
      <c r="AE910" s="10"/>
      <c r="AF910" s="10"/>
      <c r="AG910" s="10"/>
      <c r="AH910" s="10"/>
    </row>
    <row r="911" spans="1:34" ht="12.75">
      <c r="A911" s="1"/>
      <c r="B911" s="1"/>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10"/>
      <c r="AD911" s="10"/>
      <c r="AE911" s="10"/>
      <c r="AF911" s="10"/>
      <c r="AG911" s="10"/>
      <c r="AH911" s="10"/>
    </row>
    <row r="912" spans="1:34" ht="12.75">
      <c r="A912" s="1"/>
      <c r="B912" s="1"/>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10"/>
      <c r="AD912" s="10"/>
      <c r="AE912" s="10"/>
      <c r="AF912" s="10"/>
      <c r="AG912" s="10"/>
      <c r="AH912" s="10"/>
    </row>
    <row r="913" spans="1:34" ht="12.75">
      <c r="A913" s="1"/>
      <c r="B913" s="1"/>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10"/>
      <c r="AD913" s="10"/>
      <c r="AE913" s="10"/>
      <c r="AF913" s="10"/>
      <c r="AG913" s="10"/>
      <c r="AH913" s="10"/>
    </row>
    <row r="914" spans="1:34" ht="12.75">
      <c r="A914" s="1"/>
      <c r="B914" s="1"/>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10"/>
      <c r="AD914" s="10"/>
      <c r="AE914" s="10"/>
      <c r="AF914" s="10"/>
      <c r="AG914" s="10"/>
      <c r="AH914" s="10"/>
    </row>
    <row r="915" spans="1:34" ht="12.75">
      <c r="A915" s="1"/>
      <c r="B915" s="1"/>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10"/>
      <c r="AD915" s="10"/>
      <c r="AE915" s="10"/>
      <c r="AF915" s="10"/>
      <c r="AG915" s="10"/>
      <c r="AH915" s="10"/>
    </row>
    <row r="916" spans="1:34" ht="12.75">
      <c r="A916" s="1"/>
      <c r="B916" s="1"/>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10"/>
      <c r="AD916" s="10"/>
      <c r="AE916" s="10"/>
      <c r="AF916" s="10"/>
      <c r="AG916" s="10"/>
      <c r="AH916" s="10"/>
    </row>
    <row r="917" spans="1:34" ht="12.75">
      <c r="A917" s="1"/>
      <c r="B917" s="1"/>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10"/>
      <c r="AD917" s="10"/>
      <c r="AE917" s="10"/>
      <c r="AF917" s="10"/>
      <c r="AG917" s="10"/>
      <c r="AH917" s="10"/>
    </row>
    <row r="918" spans="1:34" ht="12.75">
      <c r="A918" s="1"/>
      <c r="B918" s="1"/>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10"/>
      <c r="AD918" s="10"/>
      <c r="AE918" s="10"/>
      <c r="AF918" s="10"/>
      <c r="AG918" s="10"/>
      <c r="AH918" s="10"/>
    </row>
    <row r="919" spans="1:34" ht="12.75">
      <c r="A919" s="1"/>
      <c r="B919" s="1"/>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10"/>
      <c r="AD919" s="10"/>
      <c r="AE919" s="10"/>
      <c r="AF919" s="10"/>
      <c r="AG919" s="10"/>
      <c r="AH919" s="10"/>
    </row>
    <row r="920" spans="1:34" ht="12.75">
      <c r="A920" s="1"/>
      <c r="B920" s="1"/>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10"/>
      <c r="AD920" s="10"/>
      <c r="AE920" s="10"/>
      <c r="AF920" s="10"/>
      <c r="AG920" s="10"/>
      <c r="AH920" s="10"/>
    </row>
    <row r="921" spans="1:34" ht="12.75">
      <c r="A921" s="1"/>
      <c r="B921" s="1"/>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10"/>
      <c r="AD921" s="10"/>
      <c r="AE921" s="10"/>
      <c r="AF921" s="10"/>
      <c r="AG921" s="10"/>
      <c r="AH921" s="10"/>
    </row>
    <row r="922" spans="1:34" ht="12.75">
      <c r="A922" s="1"/>
      <c r="B922" s="1"/>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10"/>
      <c r="AD922" s="10"/>
      <c r="AE922" s="10"/>
      <c r="AF922" s="10"/>
      <c r="AG922" s="10"/>
      <c r="AH922" s="10"/>
    </row>
    <row r="923" spans="1:34" ht="12.75">
      <c r="A923" s="1"/>
      <c r="B923" s="1"/>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10"/>
      <c r="AD923" s="10"/>
      <c r="AE923" s="10"/>
      <c r="AF923" s="10"/>
      <c r="AG923" s="10"/>
      <c r="AH923" s="10"/>
    </row>
    <row r="924" spans="1:34" ht="12.75">
      <c r="A924" s="1"/>
      <c r="B924" s="1"/>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10"/>
      <c r="AD924" s="10"/>
      <c r="AE924" s="10"/>
      <c r="AF924" s="10"/>
      <c r="AG924" s="10"/>
      <c r="AH924" s="10"/>
    </row>
    <row r="925" spans="1:34" ht="12.75">
      <c r="A925" s="1"/>
      <c r="B925" s="1"/>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10"/>
      <c r="AD925" s="10"/>
      <c r="AE925" s="10"/>
      <c r="AF925" s="10"/>
      <c r="AG925" s="10"/>
      <c r="AH925" s="10"/>
    </row>
    <row r="926" spans="1:34" ht="12.75">
      <c r="A926" s="1"/>
      <c r="B926" s="1"/>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10"/>
      <c r="AD926" s="10"/>
      <c r="AE926" s="10"/>
      <c r="AF926" s="10"/>
      <c r="AG926" s="10"/>
      <c r="AH926" s="10"/>
    </row>
    <row r="927" spans="1:34" ht="12.75">
      <c r="A927" s="1"/>
      <c r="B927" s="1"/>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10"/>
      <c r="AD927" s="10"/>
      <c r="AE927" s="10"/>
      <c r="AF927" s="10"/>
      <c r="AG927" s="10"/>
      <c r="AH927" s="10"/>
    </row>
    <row r="928" spans="1:34" ht="12.75">
      <c r="A928" s="1"/>
      <c r="B928" s="1"/>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10"/>
      <c r="AD928" s="10"/>
      <c r="AE928" s="10"/>
      <c r="AF928" s="10"/>
      <c r="AG928" s="10"/>
      <c r="AH928" s="10"/>
    </row>
    <row r="929" spans="1:34" ht="12.75">
      <c r="A929" s="1"/>
      <c r="B929" s="1"/>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10"/>
      <c r="AD929" s="10"/>
      <c r="AE929" s="10"/>
      <c r="AF929" s="10"/>
      <c r="AG929" s="10"/>
      <c r="AH929" s="10"/>
    </row>
    <row r="930" spans="1:34" ht="12.75">
      <c r="A930" s="1"/>
      <c r="B930" s="1"/>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10"/>
      <c r="AD930" s="10"/>
      <c r="AE930" s="10"/>
      <c r="AF930" s="10"/>
      <c r="AG930" s="10"/>
      <c r="AH930" s="10"/>
    </row>
    <row r="931" spans="1:34" ht="12.75">
      <c r="A931" s="1"/>
      <c r="B931" s="1"/>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10"/>
      <c r="AD931" s="10"/>
      <c r="AE931" s="10"/>
      <c r="AF931" s="10"/>
      <c r="AG931" s="10"/>
      <c r="AH931" s="10"/>
    </row>
    <row r="932" spans="1:34" ht="12.75">
      <c r="A932" s="1"/>
      <c r="B932" s="1"/>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10"/>
      <c r="AD932" s="10"/>
      <c r="AE932" s="10"/>
      <c r="AF932" s="10"/>
      <c r="AG932" s="10"/>
      <c r="AH932" s="10"/>
    </row>
    <row r="933" spans="1:34" ht="12.75">
      <c r="A933" s="1"/>
      <c r="B933" s="1"/>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10"/>
      <c r="AD933" s="10"/>
      <c r="AE933" s="10"/>
      <c r="AF933" s="10"/>
      <c r="AG933" s="10"/>
      <c r="AH933" s="10"/>
    </row>
    <row r="934" spans="1:34" ht="12.75">
      <c r="A934" s="1"/>
      <c r="B934" s="1"/>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10"/>
      <c r="AD934" s="10"/>
      <c r="AE934" s="10"/>
      <c r="AF934" s="10"/>
      <c r="AG934" s="10"/>
      <c r="AH934" s="10"/>
    </row>
    <row r="935" spans="1:34" ht="12.75">
      <c r="A935" s="1"/>
      <c r="B935" s="1"/>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10"/>
      <c r="AD935" s="10"/>
      <c r="AE935" s="10"/>
      <c r="AF935" s="10"/>
      <c r="AG935" s="10"/>
      <c r="AH935" s="10"/>
    </row>
    <row r="936" spans="1:34" ht="12.75">
      <c r="A936" s="1"/>
      <c r="B936" s="1"/>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10"/>
      <c r="AD936" s="10"/>
      <c r="AE936" s="10"/>
      <c r="AF936" s="10"/>
      <c r="AG936" s="10"/>
      <c r="AH936" s="10"/>
    </row>
    <row r="937" spans="1:34" ht="12.75">
      <c r="A937" s="1"/>
      <c r="B937" s="1"/>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10"/>
      <c r="AD937" s="10"/>
      <c r="AE937" s="10"/>
      <c r="AF937" s="10"/>
      <c r="AG937" s="10"/>
      <c r="AH937" s="10"/>
    </row>
    <row r="938" spans="1:34" ht="12.75">
      <c r="A938" s="1"/>
      <c r="B938" s="1"/>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10"/>
      <c r="AD938" s="10"/>
      <c r="AE938" s="10"/>
      <c r="AF938" s="10"/>
      <c r="AG938" s="10"/>
      <c r="AH938" s="10"/>
    </row>
    <row r="939" spans="1:34" ht="12.75">
      <c r="A939" s="1"/>
      <c r="B939" s="1"/>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10"/>
      <c r="AD939" s="10"/>
      <c r="AE939" s="10"/>
      <c r="AF939" s="10"/>
      <c r="AG939" s="10"/>
      <c r="AH939" s="10"/>
    </row>
    <row r="940" spans="1:34" ht="12.75">
      <c r="A940" s="1"/>
      <c r="B940" s="1"/>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10"/>
      <c r="AD940" s="10"/>
      <c r="AE940" s="10"/>
      <c r="AF940" s="10"/>
      <c r="AG940" s="10"/>
      <c r="AH940" s="10"/>
    </row>
    <row r="941" spans="1:34" ht="12.75">
      <c r="A941" s="1"/>
      <c r="B941" s="1"/>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10"/>
      <c r="AD941" s="10"/>
      <c r="AE941" s="10"/>
      <c r="AF941" s="10"/>
      <c r="AG941" s="10"/>
      <c r="AH941" s="10"/>
    </row>
    <row r="942" spans="1:34" ht="12.75">
      <c r="A942" s="1"/>
      <c r="B942" s="1"/>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10"/>
      <c r="AD942" s="10"/>
      <c r="AE942" s="10"/>
      <c r="AF942" s="10"/>
      <c r="AG942" s="10"/>
      <c r="AH942" s="10"/>
    </row>
    <row r="943" spans="1:34" ht="12.75">
      <c r="A943" s="1"/>
      <c r="B943" s="1"/>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10"/>
      <c r="AD943" s="10"/>
      <c r="AE943" s="10"/>
      <c r="AF943" s="10"/>
      <c r="AG943" s="10"/>
      <c r="AH943" s="10"/>
    </row>
    <row r="944" spans="1:34" ht="12.75">
      <c r="A944" s="1"/>
      <c r="B944" s="1"/>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10"/>
      <c r="AD944" s="10"/>
      <c r="AE944" s="10"/>
      <c r="AF944" s="10"/>
      <c r="AG944" s="10"/>
      <c r="AH944" s="10"/>
    </row>
    <row r="945" spans="1:34" ht="12.75">
      <c r="A945" s="1"/>
      <c r="B945" s="1"/>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10"/>
      <c r="AD945" s="10"/>
      <c r="AE945" s="10"/>
      <c r="AF945" s="10"/>
      <c r="AG945" s="10"/>
      <c r="AH945" s="10"/>
    </row>
    <row r="946" spans="1:34" ht="12.75">
      <c r="A946" s="1"/>
      <c r="B946" s="1"/>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10"/>
      <c r="AD946" s="10"/>
      <c r="AE946" s="10"/>
      <c r="AF946" s="10"/>
      <c r="AG946" s="10"/>
      <c r="AH946" s="10"/>
    </row>
    <row r="947" spans="1:34" ht="12.75">
      <c r="A947" s="1"/>
      <c r="B947" s="1"/>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10"/>
      <c r="AD947" s="10"/>
      <c r="AE947" s="10"/>
      <c r="AF947" s="10"/>
      <c r="AG947" s="10"/>
      <c r="AH947" s="10"/>
    </row>
    <row r="948" spans="1:34" ht="12.75">
      <c r="A948" s="1"/>
      <c r="B948" s="1"/>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10"/>
      <c r="AD948" s="10"/>
      <c r="AE948" s="10"/>
      <c r="AF948" s="10"/>
      <c r="AG948" s="10"/>
      <c r="AH948" s="10"/>
    </row>
    <row r="949" spans="1:34" ht="12.75">
      <c r="A949" s="1"/>
      <c r="B949" s="1"/>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10"/>
      <c r="AD949" s="10"/>
      <c r="AE949" s="10"/>
      <c r="AF949" s="10"/>
      <c r="AG949" s="10"/>
      <c r="AH949" s="10"/>
    </row>
    <row r="950" spans="1:34" ht="12.75">
      <c r="A950" s="1"/>
      <c r="B950" s="1"/>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10"/>
      <c r="AD950" s="10"/>
      <c r="AE950" s="10"/>
      <c r="AF950" s="10"/>
      <c r="AG950" s="10"/>
      <c r="AH950" s="10"/>
    </row>
    <row r="951" spans="1:34" ht="12.75">
      <c r="A951" s="1"/>
      <c r="B951" s="1"/>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10"/>
      <c r="AD951" s="10"/>
      <c r="AE951" s="10"/>
      <c r="AF951" s="10"/>
      <c r="AG951" s="10"/>
      <c r="AH951" s="10"/>
    </row>
    <row r="952" spans="1:34" ht="12.75">
      <c r="A952" s="1"/>
      <c r="B952" s="1"/>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10"/>
      <c r="AD952" s="10"/>
      <c r="AE952" s="10"/>
      <c r="AF952" s="10"/>
      <c r="AG952" s="10"/>
      <c r="AH952" s="10"/>
    </row>
    <row r="953" spans="1:34" ht="12.75">
      <c r="A953" s="1"/>
      <c r="B953" s="1"/>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10"/>
      <c r="AD953" s="10"/>
      <c r="AE953" s="10"/>
      <c r="AF953" s="10"/>
      <c r="AG953" s="10"/>
      <c r="AH953" s="10"/>
    </row>
    <row r="954" spans="1:34" ht="12.75">
      <c r="A954" s="1"/>
      <c r="B954" s="1"/>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10"/>
      <c r="AD954" s="10"/>
      <c r="AE954" s="10"/>
      <c r="AF954" s="10"/>
      <c r="AG954" s="10"/>
      <c r="AH954" s="10"/>
    </row>
    <row r="955" spans="1:34" ht="12.75">
      <c r="A955" s="1"/>
      <c r="B955" s="1"/>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10"/>
      <c r="AD955" s="10"/>
      <c r="AE955" s="10"/>
      <c r="AF955" s="10"/>
      <c r="AG955" s="10"/>
      <c r="AH955" s="10"/>
    </row>
    <row r="956" spans="1:34" ht="12.75">
      <c r="A956" s="1"/>
      <c r="B956" s="1"/>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10"/>
      <c r="AD956" s="10"/>
      <c r="AE956" s="10"/>
      <c r="AF956" s="10"/>
      <c r="AG956" s="10"/>
      <c r="AH956" s="10"/>
    </row>
    <row r="957" spans="1:34" ht="12.75">
      <c r="A957" s="1"/>
      <c r="B957" s="1"/>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10"/>
      <c r="AD957" s="10"/>
      <c r="AE957" s="10"/>
      <c r="AF957" s="10"/>
      <c r="AG957" s="10"/>
      <c r="AH957" s="10"/>
    </row>
    <row r="958" spans="1:34" ht="12.75">
      <c r="A958" s="1"/>
      <c r="B958" s="1"/>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10"/>
      <c r="AD958" s="10"/>
      <c r="AE958" s="10"/>
      <c r="AF958" s="10"/>
      <c r="AG958" s="10"/>
      <c r="AH958" s="10"/>
    </row>
    <row r="959" spans="1:34" ht="12.75">
      <c r="A959" s="1"/>
      <c r="B959" s="1"/>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10"/>
      <c r="AD959" s="10"/>
      <c r="AE959" s="10"/>
      <c r="AF959" s="10"/>
      <c r="AG959" s="10"/>
      <c r="AH959" s="10"/>
    </row>
    <row r="960" spans="1:34" ht="12.75">
      <c r="A960" s="1"/>
      <c r="B960" s="1"/>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10"/>
      <c r="AD960" s="10"/>
      <c r="AE960" s="10"/>
      <c r="AF960" s="10"/>
      <c r="AG960" s="10"/>
      <c r="AH960" s="10"/>
    </row>
    <row r="961" spans="1:34" ht="12.75">
      <c r="A961" s="1"/>
      <c r="B961" s="1"/>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10"/>
      <c r="AD961" s="10"/>
      <c r="AE961" s="10"/>
      <c r="AF961" s="10"/>
      <c r="AG961" s="10"/>
      <c r="AH961" s="10"/>
    </row>
    <row r="962" spans="1:34" ht="12.75">
      <c r="A962" s="1"/>
      <c r="B962" s="1"/>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10"/>
      <c r="AD962" s="10"/>
      <c r="AE962" s="10"/>
      <c r="AF962" s="10"/>
      <c r="AG962" s="10"/>
      <c r="AH962" s="10"/>
    </row>
    <row r="963" spans="1:34" ht="12.75">
      <c r="A963" s="1"/>
      <c r="B963" s="1"/>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10"/>
      <c r="AD963" s="10"/>
      <c r="AE963" s="10"/>
      <c r="AF963" s="10"/>
      <c r="AG963" s="10"/>
      <c r="AH963" s="10"/>
    </row>
    <row r="964" spans="1:34" ht="12.75">
      <c r="A964" s="1"/>
      <c r="B964" s="1"/>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10"/>
      <c r="AD964" s="10"/>
      <c r="AE964" s="10"/>
      <c r="AF964" s="10"/>
      <c r="AG964" s="10"/>
      <c r="AH964" s="10"/>
    </row>
    <row r="965" spans="1:34" ht="12.75">
      <c r="A965" s="1"/>
      <c r="B965" s="1"/>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10"/>
      <c r="AD965" s="10"/>
      <c r="AE965" s="10"/>
      <c r="AF965" s="10"/>
      <c r="AG965" s="10"/>
      <c r="AH965" s="10"/>
    </row>
    <row r="966" spans="1:34" ht="12.75">
      <c r="A966" s="1"/>
      <c r="B966" s="1"/>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10"/>
      <c r="AD966" s="10"/>
      <c r="AE966" s="10"/>
      <c r="AF966" s="10"/>
      <c r="AG966" s="10"/>
      <c r="AH966" s="10"/>
    </row>
    <row r="967" spans="1:34" ht="12.75">
      <c r="A967" s="1"/>
      <c r="B967" s="1"/>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10"/>
      <c r="AD967" s="10"/>
      <c r="AE967" s="10"/>
      <c r="AF967" s="10"/>
      <c r="AG967" s="10"/>
      <c r="AH967" s="10"/>
    </row>
    <row r="968" spans="1:34" ht="12.75">
      <c r="A968" s="1"/>
      <c r="B968" s="1"/>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10"/>
      <c r="AD968" s="10"/>
      <c r="AE968" s="10"/>
      <c r="AF968" s="10"/>
      <c r="AG968" s="10"/>
      <c r="AH968" s="10"/>
    </row>
    <row r="969" spans="1:34" ht="12.75">
      <c r="A969" s="1"/>
      <c r="B969" s="1"/>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10"/>
      <c r="AD969" s="10"/>
      <c r="AE969" s="10"/>
      <c r="AF969" s="10"/>
      <c r="AG969" s="10"/>
      <c r="AH969" s="10"/>
    </row>
    <row r="970" spans="1:34" ht="12.75">
      <c r="A970" s="1"/>
      <c r="B970" s="1"/>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10"/>
      <c r="AD970" s="10"/>
      <c r="AE970" s="10"/>
      <c r="AF970" s="10"/>
      <c r="AG970" s="10"/>
      <c r="AH970" s="10"/>
    </row>
    <row r="971" spans="1:34" ht="12.75">
      <c r="A971" s="1"/>
      <c r="B971" s="1"/>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10"/>
      <c r="AD971" s="10"/>
      <c r="AE971" s="10"/>
      <c r="AF971" s="10"/>
      <c r="AG971" s="10"/>
      <c r="AH971" s="10"/>
    </row>
    <row r="972" spans="1:34" ht="12.75">
      <c r="A972" s="1"/>
      <c r="B972" s="1"/>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10"/>
      <c r="AD972" s="10"/>
      <c r="AE972" s="10"/>
      <c r="AF972" s="10"/>
      <c r="AG972" s="10"/>
      <c r="AH972" s="10"/>
    </row>
    <row r="973" spans="1:34" ht="12.75">
      <c r="A973" s="1"/>
      <c r="B973" s="1"/>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10"/>
      <c r="AD973" s="10"/>
      <c r="AE973" s="10"/>
      <c r="AF973" s="10"/>
      <c r="AG973" s="10"/>
      <c r="AH973" s="10"/>
    </row>
    <row r="974" spans="1:34" ht="12.75">
      <c r="A974" s="1"/>
      <c r="B974" s="1"/>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10"/>
      <c r="AD974" s="10"/>
      <c r="AE974" s="10"/>
      <c r="AF974" s="10"/>
      <c r="AG974" s="10"/>
      <c r="AH974" s="10"/>
    </row>
    <row r="975" spans="1:34" ht="12.75">
      <c r="A975" s="1"/>
      <c r="B975" s="1"/>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10"/>
      <c r="AD975" s="10"/>
      <c r="AE975" s="10"/>
      <c r="AF975" s="10"/>
      <c r="AG975" s="10"/>
      <c r="AH975" s="10"/>
    </row>
    <row r="976" spans="1:34" ht="12.75">
      <c r="A976" s="1"/>
      <c r="B976" s="1"/>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10"/>
      <c r="AD976" s="10"/>
      <c r="AE976" s="10"/>
      <c r="AF976" s="10"/>
      <c r="AG976" s="10"/>
      <c r="AH976" s="10"/>
    </row>
    <row r="977" spans="1:34" ht="12.75">
      <c r="A977" s="1"/>
      <c r="B977" s="1"/>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10"/>
      <c r="AD977" s="10"/>
      <c r="AE977" s="10"/>
      <c r="AF977" s="10"/>
      <c r="AG977" s="10"/>
      <c r="AH977" s="10"/>
    </row>
    <row r="978" spans="1:34" ht="12.75">
      <c r="A978" s="1"/>
      <c r="B978" s="1"/>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10"/>
      <c r="AD978" s="10"/>
      <c r="AE978" s="10"/>
      <c r="AF978" s="10"/>
      <c r="AG978" s="10"/>
      <c r="AH978" s="10"/>
    </row>
    <row r="979" spans="1:34" ht="12.75">
      <c r="A979" s="1"/>
      <c r="B979" s="1"/>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10"/>
      <c r="AD979" s="10"/>
      <c r="AE979" s="10"/>
      <c r="AF979" s="10"/>
      <c r="AG979" s="10"/>
      <c r="AH979" s="10"/>
    </row>
    <row r="980" spans="1:34" ht="12.75">
      <c r="A980" s="1"/>
      <c r="B980" s="1"/>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10"/>
      <c r="AD980" s="10"/>
      <c r="AE980" s="10"/>
      <c r="AF980" s="10"/>
      <c r="AG980" s="10"/>
      <c r="AH980" s="10"/>
    </row>
    <row r="981" spans="1:34" ht="12.75">
      <c r="A981" s="1"/>
      <c r="B981" s="1"/>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10"/>
      <c r="AD981" s="10"/>
      <c r="AE981" s="10"/>
      <c r="AF981" s="10"/>
      <c r="AG981" s="10"/>
      <c r="AH981" s="10"/>
    </row>
    <row r="982" spans="1:34" ht="12.75">
      <c r="A982" s="1"/>
      <c r="B982" s="1"/>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10"/>
      <c r="AD982" s="10"/>
      <c r="AE982" s="10"/>
      <c r="AF982" s="10"/>
      <c r="AG982" s="10"/>
      <c r="AH982" s="10"/>
    </row>
    <row r="983" spans="1:34" ht="12.75">
      <c r="A983" s="1"/>
      <c r="B983" s="1"/>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10"/>
      <c r="AD983" s="10"/>
      <c r="AE983" s="10"/>
      <c r="AF983" s="10"/>
      <c r="AG983" s="10"/>
      <c r="AH983" s="10"/>
    </row>
    <row r="984" spans="1:34" ht="12.75">
      <c r="A984" s="1"/>
      <c r="B984" s="1"/>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10"/>
      <c r="AD984" s="10"/>
      <c r="AE984" s="10"/>
      <c r="AF984" s="10"/>
      <c r="AG984" s="10"/>
      <c r="AH984" s="10"/>
    </row>
    <row r="985" spans="1:34" ht="12.75">
      <c r="A985" s="1"/>
      <c r="B985" s="1"/>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10"/>
      <c r="AD985" s="10"/>
      <c r="AE985" s="10"/>
      <c r="AF985" s="10"/>
      <c r="AG985" s="10"/>
      <c r="AH985" s="10"/>
    </row>
    <row r="986" spans="1:34" ht="12.75">
      <c r="A986" s="1"/>
      <c r="B986" s="1"/>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10"/>
      <c r="AD986" s="10"/>
      <c r="AE986" s="10"/>
      <c r="AF986" s="10"/>
      <c r="AG986" s="10"/>
      <c r="AH986" s="10"/>
    </row>
    <row r="987" spans="1:34" ht="12.75">
      <c r="A987" s="1"/>
      <c r="B987" s="1"/>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10"/>
      <c r="AD987" s="10"/>
      <c r="AE987" s="10"/>
      <c r="AF987" s="10"/>
      <c r="AG987" s="10"/>
      <c r="AH987" s="10"/>
    </row>
    <row r="988" spans="1:34" ht="12.75">
      <c r="A988" s="1"/>
      <c r="B988" s="1"/>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10"/>
      <c r="AD988" s="10"/>
      <c r="AE988" s="10"/>
      <c r="AF988" s="10"/>
      <c r="AG988" s="10"/>
      <c r="AH988" s="10"/>
    </row>
    <row r="989" spans="1:34" ht="12.75">
      <c r="A989" s="1"/>
      <c r="B989" s="1"/>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10"/>
      <c r="AD989" s="10"/>
      <c r="AE989" s="10"/>
      <c r="AF989" s="10"/>
      <c r="AG989" s="10"/>
      <c r="AH989" s="10"/>
    </row>
    <row r="990" spans="1:34" ht="12.75">
      <c r="A990" s="1"/>
      <c r="B990" s="1"/>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10"/>
      <c r="AD990" s="10"/>
      <c r="AE990" s="10"/>
      <c r="AF990" s="10"/>
      <c r="AG990" s="10"/>
      <c r="AH990" s="10"/>
    </row>
    <row r="991" spans="1:34" ht="12.75">
      <c r="A991" s="1"/>
      <c r="B991" s="1"/>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10"/>
      <c r="AD991" s="10"/>
      <c r="AE991" s="10"/>
      <c r="AF991" s="10"/>
      <c r="AG991" s="10"/>
      <c r="AH991" s="10"/>
    </row>
    <row r="992" spans="1:34" ht="12.75">
      <c r="A992" s="1"/>
      <c r="B992" s="1"/>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10"/>
      <c r="AD992" s="10"/>
      <c r="AE992" s="10"/>
      <c r="AF992" s="10"/>
      <c r="AG992" s="10"/>
      <c r="AH992" s="10"/>
    </row>
    <row r="993" spans="1:34" ht="12.75">
      <c r="A993" s="1"/>
      <c r="B993" s="1"/>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10"/>
      <c r="AD993" s="10"/>
      <c r="AE993" s="10"/>
      <c r="AF993" s="10"/>
      <c r="AG993" s="10"/>
      <c r="AH993" s="10"/>
    </row>
    <row r="994" spans="1:34" ht="12.75">
      <c r="A994" s="1"/>
      <c r="B994" s="1"/>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10"/>
      <c r="AD994" s="10"/>
      <c r="AE994" s="10"/>
      <c r="AF994" s="10"/>
      <c r="AG994" s="10"/>
      <c r="AH994" s="10"/>
    </row>
    <row r="995" spans="1:34" ht="12.75">
      <c r="A995" s="1"/>
      <c r="B995" s="1"/>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10"/>
      <c r="AD995" s="10"/>
      <c r="AE995" s="10"/>
      <c r="AF995" s="10"/>
      <c r="AG995" s="10"/>
      <c r="AH995" s="10"/>
    </row>
    <row r="996" spans="1:34" ht="12.75">
      <c r="A996" s="1"/>
      <c r="B996" s="1"/>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10"/>
      <c r="AD996" s="10"/>
      <c r="AE996" s="10"/>
      <c r="AF996" s="10"/>
      <c r="AG996" s="10"/>
      <c r="AH996" s="10"/>
    </row>
    <row r="997" spans="1:34" ht="12.75">
      <c r="A997" s="1"/>
      <c r="B997" s="1"/>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10"/>
      <c r="AD997" s="10"/>
      <c r="AE997" s="10"/>
      <c r="AF997" s="10"/>
      <c r="AG997" s="10"/>
      <c r="AH997" s="10"/>
    </row>
    <row r="998" spans="1:34" ht="12.75">
      <c r="A998" s="1"/>
      <c r="B998" s="1"/>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10"/>
      <c r="AD998" s="10"/>
      <c r="AE998" s="10"/>
      <c r="AF998" s="10"/>
      <c r="AG998" s="10"/>
      <c r="AH998" s="10"/>
    </row>
    <row r="999" spans="1:34" ht="12.75">
      <c r="A999" s="1"/>
      <c r="B999" s="1"/>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10"/>
      <c r="AD999" s="10"/>
      <c r="AE999" s="10"/>
      <c r="AF999" s="10"/>
      <c r="AG999" s="10"/>
      <c r="AH999" s="10"/>
    </row>
    <row r="1000" spans="1:34" ht="12.75">
      <c r="A1000" s="1"/>
      <c r="B1000" s="1"/>
      <c r="C1000" s="5"/>
      <c r="D1000" s="5"/>
      <c r="E1000" s="5"/>
      <c r="F1000" s="5"/>
      <c r="G1000" s="5"/>
      <c r="H1000" s="5"/>
      <c r="I1000" s="5"/>
      <c r="J1000" s="5"/>
      <c r="K1000" s="5"/>
      <c r="L1000" s="5"/>
      <c r="M1000" s="5"/>
      <c r="N1000" s="5" t="s">
        <v>707</v>
      </c>
      <c r="O1000" s="5"/>
      <c r="P1000" s="5"/>
      <c r="Q1000" s="5"/>
      <c r="R1000" s="5"/>
      <c r="S1000" s="5"/>
      <c r="T1000" s="5"/>
      <c r="U1000" s="5"/>
      <c r="V1000" s="5"/>
      <c r="W1000" s="5"/>
      <c r="X1000" s="5"/>
      <c r="Y1000" s="5"/>
      <c r="Z1000" s="5"/>
      <c r="AA1000" s="5"/>
      <c r="AB1000" s="5"/>
      <c r="AC1000" s="10"/>
      <c r="AD1000" s="10"/>
      <c r="AE1000" s="10"/>
      <c r="AF1000" s="10"/>
      <c r="AG1000" s="10"/>
      <c r="AH1000" s="10"/>
    </row>
  </sheetData>
  <hyperlinks>
    <hyperlink ref="M1" r:id="rId1" xr:uid="{00000000-0004-0000-0000-000000000000}"/>
    <hyperlink ref="O1" r:id="rId2" location="gid=0" xr:uid="{00000000-0004-0000-0000-000001000000}"/>
    <hyperlink ref="R1" r:id="rId3" location="gid=1110916251" xr:uid="{00000000-0004-0000-0000-000002000000}"/>
    <hyperlink ref="AA1" r:id="rId4" xr:uid="{00000000-0004-0000-0000-000003000000}"/>
    <hyperlink ref="N13" r:id="rId5" location="keyword" xr:uid="{00000000-0004-0000-0000-000004000000}"/>
    <hyperlink ref="E21" r:id="rId6" xr:uid="{00000000-0004-0000-0000-000005000000}"/>
    <hyperlink ref="N51" r:id="rId7" location="mediaType" xr:uid="{00000000-0004-0000-0000-000006000000}"/>
    <hyperlink ref="E54" r:id="rId8" xr:uid="{00000000-0004-0000-0000-000007000000}"/>
  </hyperlinks>
  <printOptions horizontalCentered="1" gridLines="1"/>
  <pageMargins left="0.7" right="0.7" top="0.75" bottom="0.75" header="0" footer="0"/>
  <pageSetup paperSize="9" fitToHeight="0" pageOrder="overThenDown" orientation="landscape" cellComments="atEnd"/>
  <legacyDrawing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modified xsi:type="dcterms:W3CDTF">2025-11-04T01:45:28Z</dcterms:modified>
</cp:coreProperties>
</file>